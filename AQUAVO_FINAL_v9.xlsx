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2D6A4F46-6F8B-4C9F-92E2-68771D718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تسعي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J27" i="1"/>
  <c r="I28" i="1"/>
  <c r="I27" i="1"/>
  <c r="J28" i="1"/>
  <c r="J32" i="1"/>
  <c r="J30" i="1"/>
  <c r="I30" i="1"/>
  <c r="I31" i="1"/>
  <c r="I32" i="1"/>
  <c r="L32" i="1"/>
  <c r="J29" i="1"/>
  <c r="L28" i="1"/>
  <c r="I33" i="1"/>
  <c r="L33" i="1" s="1"/>
  <c r="M33" i="1" s="1"/>
  <c r="I29" i="1"/>
  <c r="L27" i="1"/>
  <c r="M27" i="1" s="1"/>
  <c r="F56" i="1"/>
  <c r="F57" i="1"/>
  <c r="K7" i="1"/>
  <c r="K9" i="1"/>
  <c r="K10" i="1"/>
  <c r="K11" i="1"/>
  <c r="K12" i="1"/>
  <c r="K14" i="1"/>
  <c r="K15" i="1"/>
  <c r="K16" i="1"/>
  <c r="K17" i="1"/>
  <c r="K18" i="1"/>
  <c r="K20" i="1"/>
  <c r="K21" i="1"/>
  <c r="K22" i="1"/>
  <c r="K23" i="1"/>
  <c r="K24" i="1"/>
  <c r="K31" i="1"/>
  <c r="K34" i="1"/>
  <c r="K35" i="1"/>
  <c r="K36" i="1"/>
  <c r="K37" i="1"/>
  <c r="K38" i="1"/>
  <c r="K39" i="1"/>
  <c r="K40" i="1"/>
  <c r="K41" i="1"/>
  <c r="K42" i="1"/>
  <c r="K43" i="1"/>
  <c r="K44" i="1"/>
  <c r="K45" i="1"/>
  <c r="K47" i="1"/>
  <c r="K48" i="1"/>
  <c r="K49" i="1"/>
  <c r="K51" i="1"/>
  <c r="K53" i="1"/>
  <c r="K54" i="1"/>
  <c r="K59" i="1"/>
  <c r="K60" i="1"/>
  <c r="K63" i="1"/>
  <c r="K66" i="1"/>
  <c r="K67" i="1"/>
  <c r="K68" i="1"/>
  <c r="K69" i="1"/>
  <c r="M12" i="1"/>
  <c r="M14" i="1"/>
  <c r="M15" i="1"/>
  <c r="M16" i="1"/>
  <c r="M17" i="1"/>
  <c r="M18" i="1"/>
  <c r="M20" i="1"/>
  <c r="M21" i="1"/>
  <c r="M22" i="1"/>
  <c r="M23" i="1"/>
  <c r="M31" i="1"/>
  <c r="M34" i="1"/>
  <c r="M35" i="1"/>
  <c r="M36" i="1"/>
  <c r="M37" i="1"/>
  <c r="M38" i="1"/>
  <c r="M39" i="1"/>
  <c r="M40" i="1"/>
  <c r="M41" i="1"/>
  <c r="M42" i="1"/>
  <c r="M43" i="1"/>
  <c r="M44" i="1"/>
  <c r="M45" i="1"/>
  <c r="M47" i="1"/>
  <c r="M48" i="1"/>
  <c r="M49" i="1"/>
  <c r="M51" i="1"/>
  <c r="M53" i="1"/>
  <c r="M59" i="1"/>
  <c r="M60" i="1"/>
  <c r="M63" i="1"/>
  <c r="M66" i="1"/>
  <c r="M67" i="1"/>
  <c r="M68" i="1"/>
  <c r="M69" i="1"/>
  <c r="M11" i="1"/>
  <c r="M10" i="1"/>
  <c r="M9" i="1"/>
  <c r="L5" i="1"/>
  <c r="K5" i="1" s="1"/>
  <c r="L6" i="1"/>
  <c r="M6" i="1" s="1"/>
  <c r="L7" i="1"/>
  <c r="M7" i="1" s="1"/>
  <c r="L8" i="1"/>
  <c r="K8" i="1" s="1"/>
  <c r="L9" i="1"/>
  <c r="L10" i="1"/>
  <c r="L11" i="1"/>
  <c r="L12" i="1"/>
  <c r="L13" i="1"/>
  <c r="M13" i="1" s="1"/>
  <c r="L14" i="1"/>
  <c r="L15" i="1"/>
  <c r="L16" i="1"/>
  <c r="L17" i="1"/>
  <c r="L18" i="1"/>
  <c r="L19" i="1"/>
  <c r="M19" i="1" s="1"/>
  <c r="L20" i="1"/>
  <c r="L21" i="1"/>
  <c r="L22" i="1"/>
  <c r="L23" i="1"/>
  <c r="L24" i="1"/>
  <c r="M24" i="1" s="1"/>
  <c r="L25" i="1"/>
  <c r="K25" i="1" s="1"/>
  <c r="L29" i="1"/>
  <c r="M29" i="1" s="1"/>
  <c r="L30" i="1"/>
  <c r="K30" i="1" s="1"/>
  <c r="L31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M46" i="1" s="1"/>
  <c r="L47" i="1"/>
  <c r="L48" i="1"/>
  <c r="L49" i="1"/>
  <c r="L50" i="1"/>
  <c r="M50" i="1" s="1"/>
  <c r="L51" i="1"/>
  <c r="L52" i="1"/>
  <c r="M52" i="1" s="1"/>
  <c r="L53" i="1"/>
  <c r="L54" i="1"/>
  <c r="M54" i="1" s="1"/>
  <c r="L55" i="1"/>
  <c r="M55" i="1" s="1"/>
  <c r="L57" i="1"/>
  <c r="K57" i="1" s="1"/>
  <c r="L58" i="1"/>
  <c r="M58" i="1" s="1"/>
  <c r="L59" i="1"/>
  <c r="L60" i="1"/>
  <c r="L61" i="1"/>
  <c r="M61" i="1" s="1"/>
  <c r="L62" i="1"/>
  <c r="M62" i="1" s="1"/>
  <c r="L63" i="1"/>
  <c r="L64" i="1"/>
  <c r="K64" i="1" s="1"/>
  <c r="L65" i="1"/>
  <c r="M65" i="1" s="1"/>
  <c r="L66" i="1"/>
  <c r="L67" i="1"/>
  <c r="L68" i="1"/>
  <c r="L69" i="1"/>
  <c r="L4" i="1"/>
  <c r="M4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L56" i="1" s="1"/>
  <c r="K56" i="1" s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4" i="1"/>
  <c r="K4" i="1" l="1"/>
  <c r="K33" i="1"/>
  <c r="K32" i="1"/>
  <c r="M32" i="1"/>
  <c r="M30" i="1"/>
  <c r="K29" i="1"/>
  <c r="K52" i="1"/>
  <c r="K28" i="1"/>
  <c r="M28" i="1"/>
  <c r="K65" i="1"/>
  <c r="M64" i="1"/>
  <c r="K62" i="1"/>
  <c r="K61" i="1"/>
  <c r="K58" i="1"/>
  <c r="M57" i="1"/>
  <c r="M56" i="1"/>
  <c r="K55" i="1"/>
  <c r="K50" i="1"/>
  <c r="K46" i="1"/>
  <c r="K27" i="1"/>
  <c r="M25" i="1"/>
  <c r="K19" i="1"/>
  <c r="K13" i="1"/>
  <c r="K6" i="1"/>
  <c r="M5" i="1"/>
  <c r="M8" i="1"/>
  <c r="N70" i="1" l="1"/>
</calcChain>
</file>

<file path=xl/sharedStrings.xml><?xml version="1.0" encoding="utf-8"?>
<sst xmlns="http://schemas.openxmlformats.org/spreadsheetml/2006/main" count="151" uniqueCount="96">
  <si>
    <t>AQUAVO — التسعير النهائي 2026 | شحن هجين (70%كمية+30%وزن) | 1$=1,520د</t>
  </si>
  <si>
    <t>حوض:25% سخان/تربة:15% فلتر:30% غذاء:55% كيماوي:55% اختبار:60% فيتامين:65% علاج:70%</t>
  </si>
  <si>
    <t>م</t>
  </si>
  <si>
    <t>المنتج</t>
  </si>
  <si>
    <t>الفئة</t>
  </si>
  <si>
    <t>كمية</t>
  </si>
  <si>
    <t>شراء$</t>
  </si>
  <si>
    <t>شراء د</t>
  </si>
  <si>
    <t>شحن/ق</t>
  </si>
  <si>
    <t>خشب</t>
  </si>
  <si>
    <t>التكلفة</t>
  </si>
  <si>
    <t>سعر بيع</t>
  </si>
  <si>
    <t>هامش%</t>
  </si>
  <si>
    <t>ربح/ق</t>
  </si>
  <si>
    <t>ربح كلي</t>
  </si>
  <si>
    <t>خصم5%</t>
  </si>
  <si>
    <t>خصم10%</t>
  </si>
  <si>
    <t>نقاط</t>
  </si>
  <si>
    <t>ذيل</t>
  </si>
  <si>
    <t>50W pure steel heating rod YSH-50</t>
  </si>
  <si>
    <t>سخان</t>
  </si>
  <si>
    <t>100W pure steel heating rod YSH-100</t>
  </si>
  <si>
    <t>200W pure steel heating rod YSH-200</t>
  </si>
  <si>
    <t>Yee brand aquarium quartz heating rod, 100</t>
  </si>
  <si>
    <t>YEE Black Warrior Heater 100W</t>
  </si>
  <si>
    <t>Xiaobai single-hole oxygen pump 3W (non-ad</t>
  </si>
  <si>
    <t>فلتر</t>
  </si>
  <si>
    <t>YEE 50mm Ball Mineral Bubble Diffuser</t>
  </si>
  <si>
    <t>فيتامين</t>
  </si>
  <si>
    <t xml:space="preserve">Enhanced version 1.5 meters/thickened and </t>
  </si>
  <si>
    <t>إكسسوار</t>
  </si>
  <si>
    <t>【Thickened airbag for durability】1.7 meter</t>
  </si>
  <si>
    <t>High configuration 30W low water level</t>
  </si>
  <si>
    <t>Large suspended isolation box</t>
  </si>
  <si>
    <t>Large pneumatic incubator (double room)</t>
  </si>
  <si>
    <t>Acrylic incubator 20*10*10</t>
  </si>
  <si>
    <t>(Blue) New upgraded 6D filter cotton 50*40</t>
  </si>
  <si>
    <t>Nano Culture Ring Mixed Pack</t>
  </si>
  <si>
    <t>High energy culture bricks</t>
  </si>
  <si>
    <t>3D filter material</t>
  </si>
  <si>
    <t>16-in-1 filter material 2.5kg</t>
  </si>
  <si>
    <t>Six-in-one filter material 500g</t>
  </si>
  <si>
    <t>3W oil film processor</t>
  </si>
  <si>
    <t>Yee three-color adjustable 3.5W double-row</t>
  </si>
  <si>
    <t>Aquarium magnetic cleaning brush, large si</t>
  </si>
  <si>
    <t>حوض</t>
  </si>
  <si>
    <t>1.0 meter of 16mm reinforced plastic tubin</t>
  </si>
  <si>
    <t>400x230x250mm 5mm thick</t>
  </si>
  <si>
    <t>500x270x300mm 5mm thick</t>
  </si>
  <si>
    <t>600x300x350mm 5mm thick</t>
  </si>
  <si>
    <t>35×35×35 6mm thick</t>
  </si>
  <si>
    <t>40X40X40cm 6mm thick</t>
  </si>
  <si>
    <t>60*40*40cm 8mm</t>
  </si>
  <si>
    <t>Bare side stream tank 60*15*15cm 6mm water</t>
  </si>
  <si>
    <t>Yee Small Fish Feed All-in-One 0.6mm 75g</t>
  </si>
  <si>
    <t>غذاء</t>
  </si>
  <si>
    <t>Goldfish Orchid Longevity Jade Fungus + Sp</t>
  </si>
  <si>
    <t>Betta fish food 0.8mm 130g New</t>
  </si>
  <si>
    <t>Imitation red worm feed 0.5mm 115g</t>
  </si>
  <si>
    <t>Floating Grain - Competition Grade 45% Hig</t>
  </si>
  <si>
    <t>【40% High Protein】Special Food for Ornamen</t>
  </si>
  <si>
    <t xml:space="preserve">New Shelled Eggs (80g 150ml) White Bottle </t>
  </si>
  <si>
    <t>Yee Aqua-Hermit Crab Freeze-Dried Feast 55</t>
  </si>
  <si>
    <t>Fish feed with coated paper hanger</t>
  </si>
  <si>
    <t>【All-in-one】Microparticles/0.2mm/210g</t>
  </si>
  <si>
    <t>Ranchu goldfish formulated feed, 1.5mm dia</t>
  </si>
  <si>
    <t>Yee Aquarium Freeze-dried Brine Shrimp Chu</t>
  </si>
  <si>
    <t>Yee Brand 3-in-1 Betta Fish Food 15g</t>
  </si>
  <si>
    <t>White Spot Cleaner 300ml</t>
  </si>
  <si>
    <t>علاج</t>
  </si>
  <si>
    <t>Methylene blue solution 600ml</t>
  </si>
  <si>
    <t xml:space="preserve">Bactericidal/antibacterial/instant powder </t>
  </si>
  <si>
    <t>كيماوي</t>
  </si>
  <si>
    <t>Yee Blue Classic-Chlorine Removal Water St</t>
  </si>
  <si>
    <t>Anti-stress water stabilizer 500ml New sty</t>
  </si>
  <si>
    <t>【Ammonia nitrogen tester】can test about 60</t>
  </si>
  <si>
    <t>اختبار</t>
  </si>
  <si>
    <t>【Nitrite test kit】can test about 100 times</t>
  </si>
  <si>
    <t>[Novice Level 50] 9-in-1/Bucket/With Compa</t>
  </si>
  <si>
    <t>Algaecide 500ml New Style</t>
  </si>
  <si>
    <t>Anti-stress water stabilizer 1000ml New st</t>
  </si>
  <si>
    <t>Multivitamin mineral salt 500g</t>
  </si>
  <si>
    <t>500G Multivitamin Salt Box YAN-915</t>
  </si>
  <si>
    <t>Yee Blue Classic-Methylene Blue Solution 2</t>
  </si>
  <si>
    <t>【Refill】9 in 1/Refill/50 pieces</t>
  </si>
  <si>
    <t>Fish tank descaling agent 200ml</t>
  </si>
  <si>
    <t>External electronic thermometer</t>
  </si>
  <si>
    <t>Cherlam slow-sinking fish food 1.5mm (130g</t>
  </si>
  <si>
    <t>الإجماليات</t>
  </si>
  <si>
    <t xml:space="preserve">مكنسة تنضيف </t>
  </si>
  <si>
    <t>Yee Aquarium Cleansing Ammonia Series Acti400G</t>
  </si>
  <si>
    <t>Yee Aquarium Cleansing Ammonia Series Acti760G</t>
  </si>
  <si>
    <t>Yee Aquarium Nitrifying Bacteria + Probiot 50</t>
  </si>
  <si>
    <t>Yee Aquarium Nitrifying Bacteria + Probiot 100</t>
  </si>
  <si>
    <t>Water grass mud fertility upgrade fine gra 1.5K</t>
  </si>
  <si>
    <t>Water grass mud fertility upgrade coarse g 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</si>
</sst>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IQD]\ * #,##0.00_);_([$IQD]\ * \(#,##0.00\);_([$IQD]\ 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rgb="FFA8DADC"/>
      <name val="Calibri"/>
    </font>
    <font>
      <i/>
      <sz val="8"/>
      <color rgb="FFA8DADC"/>
      <name val="Calibri"/>
    </font>
    <font>
      <b/>
      <sz val="7"/>
      <color rgb="FFFFFFFF"/>
      <name val="Calibri"/>
    </font>
    <font>
      <sz val="7"/>
      <color rgb="FF000000"/>
      <name val="Calibri"/>
    </font>
    <font>
      <b/>
      <sz val="7"/>
      <color rgb="FF000000"/>
      <name val="Calibri"/>
    </font>
    <font>
      <b/>
      <sz val="9"/>
      <color rgb="FF003366"/>
      <name val="Calibri"/>
    </font>
    <font>
      <b/>
      <sz val="8"/>
      <color rgb="FF000000"/>
      <name val="Calibri"/>
    </font>
    <font>
      <b/>
      <sz val="10"/>
      <color rgb="FFFFD700"/>
      <name val="Calibri"/>
    </font>
    <font>
      <b/>
      <sz val="9"/>
      <color rgb="FFFFD700"/>
      <name val="Calibri"/>
    </font>
    <font>
      <sz val="11"/>
      <color theme="1"/>
      <name val="Calibri"/>
      <family val="2"/>
      <scheme val="minor"/>
    </font>
    <font>
      <sz val="7"/>
      <color rgb="FF000000"/>
      <name val="Calibri"/>
      <family val="2"/>
    </font>
    <font>
      <b/>
      <sz val="9"/>
      <color rgb="FF00336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E63946"/>
      </patternFill>
    </fill>
    <fill>
      <patternFill patternType="solid">
        <fgColor rgb="FFF5F5F5"/>
      </patternFill>
    </fill>
    <fill>
      <patternFill patternType="solid">
        <fgColor rgb="FFFFF0E0"/>
      </patternFill>
    </fill>
    <fill>
      <patternFill patternType="solid">
        <fgColor rgb="FFE8F4FD"/>
      </patternFill>
    </fill>
    <fill>
      <patternFill patternType="solid">
        <fgColor rgb="FFD8F3D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right" vertical="center" readingOrder="2"/>
    </xf>
    <xf numFmtId="0" fontId="4" fillId="9" borderId="1" xfId="0" applyFont="1" applyFill="1" applyBorder="1" applyAlignment="1">
      <alignment horizontal="right" vertical="center" readingOrder="2"/>
    </xf>
    <xf numFmtId="0" fontId="9" fillId="2" borderId="1" xfId="0" applyFont="1" applyFill="1" applyBorder="1" applyAlignment="1">
      <alignment horizontal="center" vertical="center" readingOrder="2"/>
    </xf>
    <xf numFmtId="3" fontId="9" fillId="2" borderId="1" xfId="0" applyNumberFormat="1" applyFont="1" applyFill="1" applyBorder="1" applyAlignment="1">
      <alignment horizontal="center" vertical="center" readingOrder="2"/>
    </xf>
    <xf numFmtId="9" fontId="7" fillId="8" borderId="1" xfId="2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readingOrder="2"/>
    </xf>
    <xf numFmtId="164" fontId="4" fillId="5" borderId="1" xfId="1" applyNumberFormat="1" applyFont="1" applyFill="1" applyBorder="1" applyAlignment="1">
      <alignment horizontal="center" vertical="center" readingOrder="2"/>
    </xf>
    <xf numFmtId="164" fontId="6" fillId="7" borderId="1" xfId="1" applyNumberFormat="1" applyFont="1" applyFill="1" applyBorder="1" applyAlignment="1">
      <alignment horizontal="center" vertical="center" readingOrder="2"/>
    </xf>
    <xf numFmtId="164" fontId="4" fillId="5" borderId="1" xfId="0" applyNumberFormat="1" applyFont="1" applyFill="1" applyBorder="1" applyAlignment="1">
      <alignment horizontal="center" vertical="center" readingOrder="2"/>
    </xf>
    <xf numFmtId="0" fontId="4" fillId="9" borderId="1" xfId="0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11" fillId="5" borderId="1" xfId="0" applyFont="1" applyFill="1" applyBorder="1" applyAlignment="1">
      <alignment horizontal="center" vertical="center" wrapText="1" readingOrder="2"/>
    </xf>
    <xf numFmtId="0" fontId="11" fillId="9" borderId="1" xfId="0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center" vertical="center" readingOrder="2"/>
    </xf>
    <xf numFmtId="164" fontId="12" fillId="7" borderId="1" xfId="1" applyNumberFormat="1" applyFont="1" applyFill="1" applyBorder="1" applyAlignment="1">
      <alignment horizontal="center" vertical="center" readingOrder="2"/>
    </xf>
    <xf numFmtId="3" fontId="4" fillId="5" borderId="1" xfId="0" applyNumberFormat="1" applyFont="1" applyFill="1" applyBorder="1" applyAlignment="1">
      <alignment horizontal="center" vertical="center" readingOrder="2"/>
    </xf>
    <xf numFmtId="3" fontId="4" fillId="9" borderId="1" xfId="0" applyNumberFormat="1" applyFont="1" applyFill="1" applyBorder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0" fillId="0" borderId="0" xfId="0"/>
    <xf numFmtId="0" fontId="8" fillId="2" borderId="1" xfId="0" applyFont="1" applyFill="1" applyBorder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rightToLeft="1" tabSelected="1" zoomScale="115" zoomScaleNormal="115" workbookViewId="0">
      <pane ySplit="3" topLeftCell="A46" activePane="bottomLeft" state="frozen"/>
      <selection pane="bottomLeft" activeCell="A4" sqref="A4:J69"/>
    </sheetView>
  </sheetViews>
  <sheetFormatPr defaultRowHeight="15" x14ac:dyDescent="0.25"/>
  <cols>
    <col min="1" max="1" width="3" customWidth="1"/>
    <col min="2" max="2" width="49.28515625" style="14" customWidth="1"/>
    <col min="3" max="3" width="7" customWidth="1"/>
    <col min="4" max="4" width="4" customWidth="1"/>
    <col min="5" max="5" width="6" customWidth="1"/>
    <col min="6" max="6" width="8" customWidth="1"/>
    <col min="7" max="7" width="7" customWidth="1"/>
    <col min="8" max="8" width="5.28515625" customWidth="1"/>
    <col min="9" max="9" width="11.5703125" customWidth="1"/>
    <col min="10" max="10" width="13.5703125" customWidth="1"/>
    <col min="11" max="11" width="9" customWidth="1"/>
    <col min="12" max="12" width="15.7109375" customWidth="1"/>
    <col min="13" max="13" width="19.7109375" customWidth="1"/>
    <col min="14" max="14" width="9" customWidth="1"/>
    <col min="15" max="16" width="6" customWidth="1"/>
    <col min="17" max="17" width="5" customWidth="1"/>
    <col min="18" max="18" width="4" customWidth="1"/>
  </cols>
  <sheetData>
    <row r="1" spans="1:18" x14ac:dyDescent="0.25">
      <c r="A1" s="2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 spans="1:18" x14ac:dyDescent="0.25">
      <c r="A4" s="2">
        <v>1</v>
      </c>
      <c r="B4" s="12" t="s">
        <v>19</v>
      </c>
      <c r="C4" s="17" t="s">
        <v>20</v>
      </c>
      <c r="D4" s="7">
        <v>8</v>
      </c>
      <c r="E4" s="7">
        <v>2.48</v>
      </c>
      <c r="F4" s="7">
        <v>3768</v>
      </c>
      <c r="G4" s="7">
        <v>3177</v>
      </c>
      <c r="H4" s="7">
        <v>0</v>
      </c>
      <c r="I4" s="8">
        <f>F4+G4</f>
        <v>6945</v>
      </c>
      <c r="J4" s="9">
        <v>15000</v>
      </c>
      <c r="K4" s="6">
        <f>L4/J4</f>
        <v>0.53700000000000003</v>
      </c>
      <c r="L4" s="10">
        <f>J4-I4</f>
        <v>8055</v>
      </c>
      <c r="M4" s="10">
        <f t="shared" ref="M4:M11" si="0">L4*D4</f>
        <v>64440</v>
      </c>
      <c r="N4" s="7">
        <v>16.600000000000001</v>
      </c>
      <c r="O4" s="7">
        <v>11.9</v>
      </c>
      <c r="P4" s="7">
        <v>9</v>
      </c>
      <c r="Q4" s="7">
        <v>650</v>
      </c>
    </row>
    <row r="5" spans="1:18" x14ac:dyDescent="0.25">
      <c r="A5" s="3">
        <v>2</v>
      </c>
      <c r="B5" s="13" t="s">
        <v>21</v>
      </c>
      <c r="C5" s="17" t="s">
        <v>20</v>
      </c>
      <c r="D5" s="11">
        <v>8</v>
      </c>
      <c r="E5" s="11">
        <v>2.56</v>
      </c>
      <c r="F5" s="11">
        <v>3896</v>
      </c>
      <c r="G5" s="11">
        <v>3266</v>
      </c>
      <c r="H5" s="11">
        <v>0</v>
      </c>
      <c r="I5" s="8">
        <f t="shared" ref="I5:I68" si="1">F5+G5</f>
        <v>7162</v>
      </c>
      <c r="J5" s="9">
        <v>15000</v>
      </c>
      <c r="K5" s="6">
        <f t="shared" ref="K5:K68" si="2">L5/J5</f>
        <v>0.52253333333333329</v>
      </c>
      <c r="L5" s="10">
        <f t="shared" ref="L5:L68" si="3">J5-I5</f>
        <v>7838</v>
      </c>
      <c r="M5" s="10">
        <f t="shared" si="0"/>
        <v>62704</v>
      </c>
      <c r="N5" s="11">
        <v>15.9</v>
      </c>
      <c r="O5" s="11">
        <v>11.3</v>
      </c>
      <c r="P5" s="11">
        <v>9</v>
      </c>
      <c r="Q5" s="11">
        <v>850</v>
      </c>
    </row>
    <row r="6" spans="1:18" x14ac:dyDescent="0.25">
      <c r="A6" s="2">
        <v>3</v>
      </c>
      <c r="B6" s="12" t="s">
        <v>22</v>
      </c>
      <c r="C6" s="17" t="s">
        <v>20</v>
      </c>
      <c r="D6" s="7">
        <v>7</v>
      </c>
      <c r="E6" s="7">
        <v>2.58</v>
      </c>
      <c r="F6" s="7">
        <v>3918</v>
      </c>
      <c r="G6" s="7">
        <v>3266</v>
      </c>
      <c r="H6" s="7">
        <v>0</v>
      </c>
      <c r="I6" s="8">
        <f t="shared" si="1"/>
        <v>7184</v>
      </c>
      <c r="J6" s="9">
        <v>15000</v>
      </c>
      <c r="K6" s="6">
        <f t="shared" si="2"/>
        <v>0.52106666666666668</v>
      </c>
      <c r="L6" s="10">
        <f t="shared" si="3"/>
        <v>7816</v>
      </c>
      <c r="M6" s="10">
        <f t="shared" si="0"/>
        <v>54712</v>
      </c>
      <c r="N6" s="7">
        <v>16.100000000000001</v>
      </c>
      <c r="O6" s="7">
        <v>11.5</v>
      </c>
      <c r="P6" s="7">
        <v>9</v>
      </c>
      <c r="Q6" s="7">
        <v>900</v>
      </c>
    </row>
    <row r="7" spans="1:18" x14ac:dyDescent="0.25">
      <c r="A7" s="3">
        <v>4</v>
      </c>
      <c r="B7" s="13" t="s">
        <v>23</v>
      </c>
      <c r="C7" s="17" t="s">
        <v>20</v>
      </c>
      <c r="D7" s="11">
        <v>1</v>
      </c>
      <c r="E7" s="11">
        <v>9.76</v>
      </c>
      <c r="F7" s="11">
        <v>14835</v>
      </c>
      <c r="G7" s="11">
        <v>3292</v>
      </c>
      <c r="H7" s="11">
        <v>0</v>
      </c>
      <c r="I7" s="8">
        <f t="shared" si="1"/>
        <v>18127</v>
      </c>
      <c r="J7" s="9">
        <v>24850</v>
      </c>
      <c r="K7" s="6">
        <f t="shared" si="2"/>
        <v>0.27054325955734404</v>
      </c>
      <c r="L7" s="10">
        <f t="shared" si="3"/>
        <v>6723</v>
      </c>
      <c r="M7" s="10">
        <f t="shared" si="0"/>
        <v>6723</v>
      </c>
      <c r="N7" s="11">
        <v>13.3</v>
      </c>
      <c r="O7" s="11">
        <v>8.4</v>
      </c>
      <c r="P7" s="11">
        <v>22</v>
      </c>
      <c r="Q7" s="11">
        <v>850</v>
      </c>
    </row>
    <row r="8" spans="1:18" x14ac:dyDescent="0.25">
      <c r="A8" s="2">
        <v>5</v>
      </c>
      <c r="B8" s="12" t="s">
        <v>24</v>
      </c>
      <c r="C8" s="17" t="s">
        <v>20</v>
      </c>
      <c r="D8" s="7">
        <v>5</v>
      </c>
      <c r="E8" s="7">
        <v>3.52</v>
      </c>
      <c r="F8" s="7">
        <v>5352</v>
      </c>
      <c r="G8" s="7">
        <v>3248</v>
      </c>
      <c r="H8" s="7">
        <v>0</v>
      </c>
      <c r="I8" s="8">
        <f t="shared" si="1"/>
        <v>8600</v>
      </c>
      <c r="J8" s="9">
        <v>15500</v>
      </c>
      <c r="K8" s="6">
        <f t="shared" si="2"/>
        <v>0.44516129032258067</v>
      </c>
      <c r="L8" s="10">
        <f t="shared" si="3"/>
        <v>6900</v>
      </c>
      <c r="M8" s="10">
        <f t="shared" si="0"/>
        <v>34500</v>
      </c>
      <c r="N8" s="7">
        <v>13.3</v>
      </c>
      <c r="O8" s="7">
        <v>8.5</v>
      </c>
      <c r="P8" s="7">
        <v>11</v>
      </c>
      <c r="Q8" s="7">
        <v>300</v>
      </c>
    </row>
    <row r="9" spans="1:18" x14ac:dyDescent="0.25">
      <c r="A9" s="3">
        <v>6</v>
      </c>
      <c r="B9" s="13" t="s">
        <v>25</v>
      </c>
      <c r="C9" s="17" t="s">
        <v>26</v>
      </c>
      <c r="D9" s="11">
        <v>3</v>
      </c>
      <c r="E9" s="11">
        <v>1.17</v>
      </c>
      <c r="F9" s="11">
        <v>1777</v>
      </c>
      <c r="G9" s="11">
        <v>3106</v>
      </c>
      <c r="H9" s="11">
        <v>0</v>
      </c>
      <c r="I9" s="8">
        <f t="shared" si="1"/>
        <v>4883</v>
      </c>
      <c r="J9" s="9">
        <v>10600</v>
      </c>
      <c r="K9" s="6">
        <f t="shared" si="2"/>
        <v>0.53933962264150948</v>
      </c>
      <c r="L9" s="10">
        <f t="shared" si="3"/>
        <v>5717</v>
      </c>
      <c r="M9" s="10">
        <f t="shared" si="0"/>
        <v>17151</v>
      </c>
      <c r="N9" s="11">
        <v>31.6</v>
      </c>
      <c r="O9" s="11">
        <v>27.8</v>
      </c>
      <c r="P9" s="11">
        <v>8</v>
      </c>
      <c r="Q9" s="11">
        <v>600</v>
      </c>
    </row>
    <row r="10" spans="1:18" x14ac:dyDescent="0.25">
      <c r="A10" s="2">
        <v>7</v>
      </c>
      <c r="B10" s="12" t="s">
        <v>27</v>
      </c>
      <c r="C10" s="17" t="s">
        <v>28</v>
      </c>
      <c r="D10" s="7">
        <v>15</v>
      </c>
      <c r="E10" s="7">
        <v>1.56</v>
      </c>
      <c r="F10" s="7">
        <v>2371</v>
      </c>
      <c r="G10" s="7">
        <v>3106</v>
      </c>
      <c r="H10" s="7">
        <v>0</v>
      </c>
      <c r="I10" s="8">
        <f t="shared" si="1"/>
        <v>5477</v>
      </c>
      <c r="J10" s="9">
        <v>8450</v>
      </c>
      <c r="K10" s="6">
        <f t="shared" si="2"/>
        <v>0.35183431952662719</v>
      </c>
      <c r="L10" s="10">
        <f t="shared" si="3"/>
        <v>2973</v>
      </c>
      <c r="M10" s="10">
        <f t="shared" si="0"/>
        <v>44595</v>
      </c>
      <c r="N10" s="7">
        <v>64.3</v>
      </c>
      <c r="O10" s="7">
        <v>62.3</v>
      </c>
      <c r="P10" s="7">
        <v>18</v>
      </c>
      <c r="Q10" s="7">
        <v>200</v>
      </c>
    </row>
    <row r="11" spans="1:18" x14ac:dyDescent="0.25">
      <c r="A11" s="3">
        <v>8</v>
      </c>
      <c r="B11" s="13" t="s">
        <v>29</v>
      </c>
      <c r="C11" s="17" t="s">
        <v>30</v>
      </c>
      <c r="D11" s="11">
        <v>10</v>
      </c>
      <c r="E11" s="11">
        <v>0.37</v>
      </c>
      <c r="F11" s="11">
        <v>557</v>
      </c>
      <c r="G11" s="11">
        <v>3062</v>
      </c>
      <c r="H11" s="11">
        <v>0</v>
      </c>
      <c r="I11" s="8">
        <f t="shared" si="1"/>
        <v>3619</v>
      </c>
      <c r="J11" s="9">
        <v>6300</v>
      </c>
      <c r="K11" s="6">
        <f t="shared" si="2"/>
        <v>0.42555555555555558</v>
      </c>
      <c r="L11" s="10">
        <f t="shared" si="3"/>
        <v>2681</v>
      </c>
      <c r="M11" s="10">
        <f t="shared" si="0"/>
        <v>26810</v>
      </c>
      <c r="N11" s="11">
        <v>27.8</v>
      </c>
      <c r="O11" s="11">
        <v>23.8</v>
      </c>
      <c r="P11" s="11">
        <v>6</v>
      </c>
      <c r="Q11" s="11">
        <v>300</v>
      </c>
    </row>
    <row r="12" spans="1:18" x14ac:dyDescent="0.25">
      <c r="A12" s="2">
        <v>9</v>
      </c>
      <c r="B12" s="12" t="s">
        <v>31</v>
      </c>
      <c r="C12" s="17" t="s">
        <v>30</v>
      </c>
      <c r="D12" s="7">
        <v>10</v>
      </c>
      <c r="E12" s="7">
        <v>0.92</v>
      </c>
      <c r="F12" s="7">
        <v>1392</v>
      </c>
      <c r="G12" s="7">
        <v>3195</v>
      </c>
      <c r="H12" s="7">
        <v>0</v>
      </c>
      <c r="I12" s="8">
        <f t="shared" si="1"/>
        <v>4587</v>
      </c>
      <c r="J12" s="9">
        <v>8300</v>
      </c>
      <c r="K12" s="6">
        <f t="shared" si="2"/>
        <v>0.44734939759036146</v>
      </c>
      <c r="L12" s="10">
        <f t="shared" si="3"/>
        <v>3713</v>
      </c>
      <c r="M12" s="10">
        <f t="shared" ref="M12:M69" si="4">L12*D12</f>
        <v>37130</v>
      </c>
      <c r="N12" s="7">
        <v>32.9</v>
      </c>
      <c r="O12" s="7">
        <v>29.2</v>
      </c>
      <c r="P12" s="7">
        <v>8</v>
      </c>
      <c r="Q12" s="7">
        <v>300</v>
      </c>
    </row>
    <row r="13" spans="1:18" x14ac:dyDescent="0.25">
      <c r="A13" s="3">
        <v>10</v>
      </c>
      <c r="B13" s="13" t="s">
        <v>32</v>
      </c>
      <c r="C13" s="17" t="s">
        <v>89</v>
      </c>
      <c r="D13" s="11">
        <v>5</v>
      </c>
      <c r="E13" s="11">
        <v>8.2799999999999994</v>
      </c>
      <c r="F13" s="11">
        <v>12588</v>
      </c>
      <c r="G13" s="11">
        <v>3780</v>
      </c>
      <c r="H13" s="11">
        <v>0</v>
      </c>
      <c r="I13" s="8">
        <f t="shared" si="1"/>
        <v>16368</v>
      </c>
      <c r="J13" s="9">
        <v>27600</v>
      </c>
      <c r="K13" s="6">
        <f t="shared" si="2"/>
        <v>0.40695652173913044</v>
      </c>
      <c r="L13" s="10">
        <f t="shared" si="3"/>
        <v>11232</v>
      </c>
      <c r="M13" s="10">
        <f t="shared" si="4"/>
        <v>56160</v>
      </c>
      <c r="N13" s="11">
        <v>27.9</v>
      </c>
      <c r="O13" s="11">
        <v>23.9</v>
      </c>
      <c r="P13" s="11">
        <v>25</v>
      </c>
      <c r="Q13" s="11">
        <v>350</v>
      </c>
    </row>
    <row r="14" spans="1:18" x14ac:dyDescent="0.25">
      <c r="A14" s="2">
        <v>11</v>
      </c>
      <c r="B14" s="12" t="s">
        <v>33</v>
      </c>
      <c r="C14" s="17" t="s">
        <v>30</v>
      </c>
      <c r="D14" s="7">
        <v>8</v>
      </c>
      <c r="E14" s="7">
        <v>2.68</v>
      </c>
      <c r="F14" s="7">
        <v>4068</v>
      </c>
      <c r="G14" s="7">
        <v>3168</v>
      </c>
      <c r="H14" s="7">
        <v>0</v>
      </c>
      <c r="I14" s="8">
        <f t="shared" si="1"/>
        <v>7236</v>
      </c>
      <c r="J14" s="9">
        <v>11950</v>
      </c>
      <c r="K14" s="6">
        <f t="shared" si="2"/>
        <v>0.39447698744769877</v>
      </c>
      <c r="L14" s="10">
        <f t="shared" si="3"/>
        <v>4714</v>
      </c>
      <c r="M14" s="10">
        <f t="shared" si="4"/>
        <v>37712</v>
      </c>
      <c r="N14" s="7">
        <v>30.1</v>
      </c>
      <c r="O14" s="7">
        <v>26.2</v>
      </c>
      <c r="P14" s="7">
        <v>11</v>
      </c>
      <c r="Q14" s="7">
        <v>950</v>
      </c>
    </row>
    <row r="15" spans="1:18" x14ac:dyDescent="0.25">
      <c r="A15" s="3">
        <v>12</v>
      </c>
      <c r="B15" s="13" t="s">
        <v>34</v>
      </c>
      <c r="C15" s="17" t="s">
        <v>30</v>
      </c>
      <c r="D15" s="11">
        <v>5</v>
      </c>
      <c r="E15" s="11">
        <v>0.99</v>
      </c>
      <c r="F15" s="11">
        <v>1505</v>
      </c>
      <c r="G15" s="11">
        <v>3168</v>
      </c>
      <c r="H15" s="11">
        <v>0</v>
      </c>
      <c r="I15" s="8">
        <f t="shared" si="1"/>
        <v>4673</v>
      </c>
      <c r="J15" s="9">
        <v>8400</v>
      </c>
      <c r="K15" s="6">
        <f t="shared" si="2"/>
        <v>0.44369047619047619</v>
      </c>
      <c r="L15" s="10">
        <f t="shared" si="3"/>
        <v>3727</v>
      </c>
      <c r="M15" s="10">
        <f t="shared" si="4"/>
        <v>18635</v>
      </c>
      <c r="N15" s="11">
        <v>32.6</v>
      </c>
      <c r="O15" s="11">
        <v>28.9</v>
      </c>
      <c r="P15" s="11">
        <v>8</v>
      </c>
      <c r="Q15" s="11">
        <v>400</v>
      </c>
    </row>
    <row r="16" spans="1:18" x14ac:dyDescent="0.25">
      <c r="A16" s="2">
        <v>13</v>
      </c>
      <c r="B16" s="12" t="s">
        <v>35</v>
      </c>
      <c r="C16" s="17" t="s">
        <v>30</v>
      </c>
      <c r="D16" s="7">
        <v>4</v>
      </c>
      <c r="E16" s="7">
        <v>2.86</v>
      </c>
      <c r="F16" s="7">
        <v>4347</v>
      </c>
      <c r="G16" s="7">
        <v>3257</v>
      </c>
      <c r="H16" s="7">
        <v>0</v>
      </c>
      <c r="I16" s="8">
        <f t="shared" si="1"/>
        <v>7604</v>
      </c>
      <c r="J16" s="9">
        <v>12300</v>
      </c>
      <c r="K16" s="6">
        <f t="shared" si="2"/>
        <v>0.38178861788617885</v>
      </c>
      <c r="L16" s="10">
        <f t="shared" si="3"/>
        <v>4696</v>
      </c>
      <c r="M16" s="10">
        <f t="shared" si="4"/>
        <v>18784</v>
      </c>
      <c r="N16" s="7">
        <v>28.9</v>
      </c>
      <c r="O16" s="7">
        <v>25</v>
      </c>
      <c r="P16" s="7">
        <v>12</v>
      </c>
      <c r="Q16" s="7">
        <v>300</v>
      </c>
    </row>
    <row r="17" spans="1:17" x14ac:dyDescent="0.25">
      <c r="A17" s="3">
        <v>14</v>
      </c>
      <c r="B17" s="13" t="s">
        <v>36</v>
      </c>
      <c r="C17" s="17" t="s">
        <v>26</v>
      </c>
      <c r="D17" s="11">
        <v>4</v>
      </c>
      <c r="E17" s="11">
        <v>3.04</v>
      </c>
      <c r="F17" s="11">
        <v>4624</v>
      </c>
      <c r="G17" s="11">
        <v>3257</v>
      </c>
      <c r="H17" s="11">
        <v>0</v>
      </c>
      <c r="I17" s="8">
        <f t="shared" si="1"/>
        <v>7881</v>
      </c>
      <c r="J17" s="9">
        <v>12600</v>
      </c>
      <c r="K17" s="6">
        <f t="shared" si="2"/>
        <v>0.37452380952380954</v>
      </c>
      <c r="L17" s="10">
        <f t="shared" si="3"/>
        <v>4719</v>
      </c>
      <c r="M17" s="10">
        <f t="shared" si="4"/>
        <v>18876</v>
      </c>
      <c r="N17" s="11">
        <v>28.3</v>
      </c>
      <c r="O17" s="11">
        <v>24.3</v>
      </c>
      <c r="P17" s="11">
        <v>12</v>
      </c>
      <c r="Q17" s="11">
        <v>600</v>
      </c>
    </row>
    <row r="18" spans="1:17" x14ac:dyDescent="0.25">
      <c r="A18" s="2">
        <v>15</v>
      </c>
      <c r="B18" s="12" t="s">
        <v>37</v>
      </c>
      <c r="C18" s="17" t="s">
        <v>26</v>
      </c>
      <c r="D18" s="7">
        <v>8</v>
      </c>
      <c r="E18" s="7">
        <v>1.31</v>
      </c>
      <c r="F18" s="7">
        <v>1991</v>
      </c>
      <c r="G18" s="7">
        <v>3611</v>
      </c>
      <c r="H18" s="7">
        <v>0</v>
      </c>
      <c r="I18" s="8">
        <f t="shared" si="1"/>
        <v>5602</v>
      </c>
      <c r="J18" s="9">
        <v>9600</v>
      </c>
      <c r="K18" s="6">
        <f t="shared" si="2"/>
        <v>0.41645833333333332</v>
      </c>
      <c r="L18" s="10">
        <f t="shared" si="3"/>
        <v>3998</v>
      </c>
      <c r="M18" s="10">
        <f t="shared" si="4"/>
        <v>31984</v>
      </c>
      <c r="N18" s="7">
        <v>27.6</v>
      </c>
      <c r="O18" s="7">
        <v>23.6</v>
      </c>
      <c r="P18" s="7">
        <v>9</v>
      </c>
      <c r="Q18" s="7">
        <v>600</v>
      </c>
    </row>
    <row r="19" spans="1:17" x14ac:dyDescent="0.25">
      <c r="A19" s="3">
        <v>16</v>
      </c>
      <c r="B19" s="13" t="s">
        <v>38</v>
      </c>
      <c r="C19" s="17" t="s">
        <v>26</v>
      </c>
      <c r="D19" s="11">
        <v>5</v>
      </c>
      <c r="E19" s="11">
        <v>0.83</v>
      </c>
      <c r="F19" s="11">
        <v>1262</v>
      </c>
      <c r="G19" s="11">
        <v>3345</v>
      </c>
      <c r="H19" s="11">
        <v>0</v>
      </c>
      <c r="I19" s="8">
        <f t="shared" si="1"/>
        <v>4607</v>
      </c>
      <c r="J19" s="9">
        <v>7600</v>
      </c>
      <c r="K19" s="6">
        <f t="shared" si="2"/>
        <v>0.39381578947368423</v>
      </c>
      <c r="L19" s="10">
        <f t="shared" si="3"/>
        <v>2993</v>
      </c>
      <c r="M19" s="10">
        <f t="shared" si="4"/>
        <v>14965</v>
      </c>
      <c r="N19" s="11">
        <v>31.3</v>
      </c>
      <c r="O19" s="11">
        <v>27.5</v>
      </c>
      <c r="P19" s="11">
        <v>8</v>
      </c>
      <c r="Q19" s="11">
        <v>600</v>
      </c>
    </row>
    <row r="20" spans="1:17" x14ac:dyDescent="0.25">
      <c r="A20" s="2">
        <v>17</v>
      </c>
      <c r="B20" s="12" t="s">
        <v>39</v>
      </c>
      <c r="C20" s="17" t="s">
        <v>26</v>
      </c>
      <c r="D20" s="7">
        <v>6</v>
      </c>
      <c r="E20" s="7">
        <v>1.67</v>
      </c>
      <c r="F20" s="7">
        <v>2538</v>
      </c>
      <c r="G20" s="7">
        <v>3514</v>
      </c>
      <c r="H20" s="7">
        <v>0</v>
      </c>
      <c r="I20" s="8">
        <f t="shared" si="1"/>
        <v>6052</v>
      </c>
      <c r="J20" s="9">
        <v>11050</v>
      </c>
      <c r="K20" s="6">
        <f t="shared" si="2"/>
        <v>0.4523076923076923</v>
      </c>
      <c r="L20" s="10">
        <f t="shared" si="3"/>
        <v>4998</v>
      </c>
      <c r="M20" s="10">
        <f t="shared" si="4"/>
        <v>29988</v>
      </c>
      <c r="N20" s="7">
        <v>32.799999999999997</v>
      </c>
      <c r="O20" s="7">
        <v>29.1</v>
      </c>
      <c r="P20" s="7">
        <v>11</v>
      </c>
      <c r="Q20" s="7">
        <v>50</v>
      </c>
    </row>
    <row r="21" spans="1:17" x14ac:dyDescent="0.25">
      <c r="A21" s="3">
        <v>18</v>
      </c>
      <c r="B21" s="13" t="s">
        <v>40</v>
      </c>
      <c r="C21" s="17" t="s">
        <v>26</v>
      </c>
      <c r="D21" s="11">
        <v>5</v>
      </c>
      <c r="E21" s="11">
        <v>2.61</v>
      </c>
      <c r="F21" s="11">
        <v>3961</v>
      </c>
      <c r="G21" s="11">
        <v>5207</v>
      </c>
      <c r="H21" s="11">
        <v>0</v>
      </c>
      <c r="I21" s="8">
        <f t="shared" si="1"/>
        <v>9168</v>
      </c>
      <c r="J21" s="9">
        <v>15350</v>
      </c>
      <c r="K21" s="6">
        <f t="shared" si="2"/>
        <v>0.40273615635179155</v>
      </c>
      <c r="L21" s="10">
        <f t="shared" si="3"/>
        <v>6182</v>
      </c>
      <c r="M21" s="10">
        <f t="shared" si="4"/>
        <v>30910</v>
      </c>
      <c r="N21" s="11">
        <v>28.9</v>
      </c>
      <c r="O21" s="11">
        <v>24.9</v>
      </c>
      <c r="P21" s="11">
        <v>15</v>
      </c>
      <c r="Q21" s="11">
        <v>350</v>
      </c>
    </row>
    <row r="22" spans="1:17" x14ac:dyDescent="0.25">
      <c r="A22" s="2">
        <v>19</v>
      </c>
      <c r="B22" s="12" t="s">
        <v>41</v>
      </c>
      <c r="C22" s="17" t="s">
        <v>26</v>
      </c>
      <c r="D22" s="7">
        <v>5</v>
      </c>
      <c r="E22" s="7">
        <v>0.97</v>
      </c>
      <c r="F22" s="7">
        <v>1477</v>
      </c>
      <c r="G22" s="7">
        <v>3523</v>
      </c>
      <c r="H22" s="7">
        <v>0</v>
      </c>
      <c r="I22" s="8">
        <f t="shared" si="1"/>
        <v>5000</v>
      </c>
      <c r="J22" s="9">
        <v>9050</v>
      </c>
      <c r="K22" s="6">
        <f t="shared" si="2"/>
        <v>0.44751381215469616</v>
      </c>
      <c r="L22" s="10">
        <f t="shared" si="3"/>
        <v>4050</v>
      </c>
      <c r="M22" s="10">
        <f t="shared" si="4"/>
        <v>20250</v>
      </c>
      <c r="N22" s="7">
        <v>30.2</v>
      </c>
      <c r="O22" s="7">
        <v>26.3</v>
      </c>
      <c r="P22" s="7">
        <v>9</v>
      </c>
      <c r="Q22" s="7">
        <v>50</v>
      </c>
    </row>
    <row r="23" spans="1:17" x14ac:dyDescent="0.25">
      <c r="A23" s="3">
        <v>20</v>
      </c>
      <c r="B23" s="13" t="s">
        <v>42</v>
      </c>
      <c r="C23" s="17" t="s">
        <v>26</v>
      </c>
      <c r="D23" s="11">
        <v>4</v>
      </c>
      <c r="E23" s="11">
        <v>2.61</v>
      </c>
      <c r="F23" s="11">
        <v>3967</v>
      </c>
      <c r="G23" s="11">
        <v>3168</v>
      </c>
      <c r="H23" s="11">
        <v>0</v>
      </c>
      <c r="I23" s="8">
        <f t="shared" si="1"/>
        <v>7135</v>
      </c>
      <c r="J23" s="9">
        <v>11850</v>
      </c>
      <c r="K23" s="6">
        <f t="shared" si="2"/>
        <v>0.39789029535864978</v>
      </c>
      <c r="L23" s="10">
        <f t="shared" si="3"/>
        <v>4715</v>
      </c>
      <c r="M23" s="10">
        <f t="shared" si="4"/>
        <v>18860</v>
      </c>
      <c r="N23" s="11">
        <v>30.4</v>
      </c>
      <c r="O23" s="11">
        <v>26.5</v>
      </c>
      <c r="P23" s="11">
        <v>11</v>
      </c>
      <c r="Q23" s="11">
        <v>850</v>
      </c>
    </row>
    <row r="24" spans="1:17" x14ac:dyDescent="0.25">
      <c r="A24" s="2">
        <v>21</v>
      </c>
      <c r="B24" s="12" t="s">
        <v>43</v>
      </c>
      <c r="C24" s="17" t="s">
        <v>30</v>
      </c>
      <c r="D24" s="7">
        <v>4</v>
      </c>
      <c r="E24" s="7">
        <v>0</v>
      </c>
      <c r="F24" s="7">
        <v>0</v>
      </c>
      <c r="G24" s="7">
        <v>3230</v>
      </c>
      <c r="H24" s="7">
        <v>0</v>
      </c>
      <c r="I24" s="8">
        <f t="shared" si="1"/>
        <v>3230</v>
      </c>
      <c r="J24" s="9">
        <v>10850</v>
      </c>
      <c r="K24" s="6">
        <f t="shared" si="2"/>
        <v>0.70230414746543779</v>
      </c>
      <c r="L24" s="10">
        <f t="shared" si="3"/>
        <v>7620</v>
      </c>
      <c r="M24" s="10">
        <f t="shared" si="4"/>
        <v>30480</v>
      </c>
      <c r="N24" s="7">
        <v>30.4</v>
      </c>
      <c r="O24" s="7">
        <v>26.6</v>
      </c>
      <c r="P24" s="7">
        <v>5</v>
      </c>
      <c r="Q24" s="7">
        <v>950</v>
      </c>
    </row>
    <row r="25" spans="1:17" x14ac:dyDescent="0.25">
      <c r="A25" s="3">
        <v>22</v>
      </c>
      <c r="B25" s="13" t="s">
        <v>44</v>
      </c>
      <c r="C25" s="17" t="s">
        <v>45</v>
      </c>
      <c r="D25" s="11">
        <v>3</v>
      </c>
      <c r="E25" s="11">
        <v>0</v>
      </c>
      <c r="F25" s="11">
        <v>0</v>
      </c>
      <c r="G25" s="11">
        <v>3700</v>
      </c>
      <c r="H25" s="11">
        <v>0</v>
      </c>
      <c r="I25" s="8">
        <f t="shared" si="1"/>
        <v>3700</v>
      </c>
      <c r="J25" s="9">
        <v>10650</v>
      </c>
      <c r="K25" s="6">
        <f t="shared" si="2"/>
        <v>0.65258215962441313</v>
      </c>
      <c r="L25" s="10">
        <f t="shared" si="3"/>
        <v>6950</v>
      </c>
      <c r="M25" s="10">
        <f t="shared" si="4"/>
        <v>20850</v>
      </c>
      <c r="N25" s="11">
        <v>26.1</v>
      </c>
      <c r="O25" s="11">
        <v>22</v>
      </c>
      <c r="P25" s="11">
        <v>6</v>
      </c>
      <c r="Q25" s="11">
        <v>700</v>
      </c>
    </row>
    <row r="26" spans="1:17" x14ac:dyDescent="0.25">
      <c r="A26" s="2">
        <v>23</v>
      </c>
      <c r="B26" s="12" t="s">
        <v>46</v>
      </c>
      <c r="C26" s="17"/>
      <c r="D26" s="7"/>
      <c r="E26" s="7"/>
      <c r="F26" s="7"/>
      <c r="G26" s="7"/>
      <c r="H26" s="7"/>
      <c r="I26" s="8"/>
      <c r="J26" s="9"/>
      <c r="K26" s="6"/>
      <c r="L26" s="10"/>
      <c r="M26" s="10"/>
      <c r="N26" s="7"/>
      <c r="O26" s="7"/>
      <c r="P26" s="7"/>
      <c r="Q26" s="7"/>
    </row>
    <row r="27" spans="1:17" x14ac:dyDescent="0.25">
      <c r="A27" s="3">
        <v>24</v>
      </c>
      <c r="B27" s="13" t="s">
        <v>47</v>
      </c>
      <c r="C27" s="17" t="s">
        <v>45</v>
      </c>
      <c r="D27" s="11">
        <v>2</v>
      </c>
      <c r="E27" s="11">
        <v>6.28</v>
      </c>
      <c r="F27" s="11">
        <v>9548</v>
      </c>
      <c r="G27" s="11">
        <v>8132</v>
      </c>
      <c r="H27" s="20">
        <v>6188</v>
      </c>
      <c r="I27" s="8">
        <f>F27+G27+H27</f>
        <v>23868</v>
      </c>
      <c r="J27" s="18">
        <f>31500+H27</f>
        <v>37688</v>
      </c>
      <c r="K27" s="6">
        <f t="shared" si="2"/>
        <v>0.36669496922097217</v>
      </c>
      <c r="L27" s="10">
        <f t="shared" si="3"/>
        <v>13820</v>
      </c>
      <c r="M27" s="10">
        <f t="shared" si="4"/>
        <v>27640</v>
      </c>
      <c r="N27" s="11">
        <v>22.2</v>
      </c>
      <c r="O27" s="11">
        <v>17.899999999999999</v>
      </c>
      <c r="P27" s="11">
        <v>30</v>
      </c>
      <c r="Q27" s="11">
        <v>550</v>
      </c>
    </row>
    <row r="28" spans="1:17" x14ac:dyDescent="0.25">
      <c r="A28" s="2">
        <v>25</v>
      </c>
      <c r="B28" s="12" t="s">
        <v>48</v>
      </c>
      <c r="C28" s="17" t="s">
        <v>45</v>
      </c>
      <c r="D28" s="7">
        <v>2</v>
      </c>
      <c r="E28" s="7">
        <v>9.73</v>
      </c>
      <c r="F28" s="7">
        <v>14793</v>
      </c>
      <c r="G28" s="7">
        <v>12565</v>
      </c>
      <c r="H28" s="19">
        <v>8214</v>
      </c>
      <c r="I28" s="8">
        <f>F28+G28+H28</f>
        <v>35572</v>
      </c>
      <c r="J28" s="18">
        <f>(46250)+H28</f>
        <v>54464</v>
      </c>
      <c r="K28" s="6">
        <f t="shared" si="2"/>
        <v>0.34687132784958874</v>
      </c>
      <c r="L28" s="10">
        <f t="shared" si="3"/>
        <v>18892</v>
      </c>
      <c r="M28" s="10">
        <f t="shared" si="4"/>
        <v>37784</v>
      </c>
      <c r="N28" s="7">
        <v>22</v>
      </c>
      <c r="O28" s="7">
        <v>17.7</v>
      </c>
      <c r="P28" s="7">
        <v>46</v>
      </c>
      <c r="Q28" s="7">
        <v>250</v>
      </c>
    </row>
    <row r="29" spans="1:17" x14ac:dyDescent="0.25">
      <c r="A29" s="3">
        <v>26</v>
      </c>
      <c r="B29" s="13" t="s">
        <v>49</v>
      </c>
      <c r="C29" s="17" t="s">
        <v>45</v>
      </c>
      <c r="D29" s="11">
        <v>2</v>
      </c>
      <c r="E29" s="11">
        <v>12.52</v>
      </c>
      <c r="F29" s="11">
        <v>19032</v>
      </c>
      <c r="G29" s="11">
        <v>16288</v>
      </c>
      <c r="H29" s="11">
        <v>7351</v>
      </c>
      <c r="I29" s="8">
        <f t="shared" ref="I29" si="5">F29+G29+H29</f>
        <v>42671</v>
      </c>
      <c r="J29" s="18">
        <f>58580+H29</f>
        <v>65931</v>
      </c>
      <c r="K29" s="6">
        <f t="shared" si="2"/>
        <v>0.35279307154449346</v>
      </c>
      <c r="L29" s="10">
        <f t="shared" si="3"/>
        <v>23260</v>
      </c>
      <c r="M29" s="10">
        <f t="shared" si="4"/>
        <v>46520</v>
      </c>
      <c r="N29" s="11">
        <v>21.5</v>
      </c>
      <c r="O29" s="11">
        <v>17.2</v>
      </c>
      <c r="P29" s="11">
        <v>58</v>
      </c>
      <c r="Q29" s="11">
        <v>850</v>
      </c>
    </row>
    <row r="30" spans="1:17" x14ac:dyDescent="0.25">
      <c r="A30" s="2">
        <v>27</v>
      </c>
      <c r="B30" s="12" t="s">
        <v>50</v>
      </c>
      <c r="C30" s="17" t="s">
        <v>45</v>
      </c>
      <c r="D30" s="7">
        <v>2</v>
      </c>
      <c r="E30" s="7">
        <v>8.59</v>
      </c>
      <c r="F30" s="7">
        <v>13059</v>
      </c>
      <c r="G30" s="7">
        <v>13097</v>
      </c>
      <c r="H30" s="7">
        <v>5044</v>
      </c>
      <c r="I30" s="8">
        <f>F30+G30+H30</f>
        <v>31200</v>
      </c>
      <c r="J30" s="9">
        <f>43400+H30</f>
        <v>48444</v>
      </c>
      <c r="K30" s="6">
        <f t="shared" si="2"/>
        <v>0.35595739410453309</v>
      </c>
      <c r="L30" s="10">
        <f t="shared" si="3"/>
        <v>17244</v>
      </c>
      <c r="M30" s="10">
        <f t="shared" si="4"/>
        <v>34488</v>
      </c>
      <c r="N30" s="7">
        <v>21.4</v>
      </c>
      <c r="O30" s="7">
        <v>17</v>
      </c>
      <c r="P30" s="7">
        <v>43</v>
      </c>
      <c r="Q30" s="7">
        <v>400</v>
      </c>
    </row>
    <row r="31" spans="1:17" x14ac:dyDescent="0.25">
      <c r="A31" s="3">
        <v>28</v>
      </c>
      <c r="B31" s="13" t="s">
        <v>51</v>
      </c>
      <c r="C31" s="17" t="s">
        <v>45</v>
      </c>
      <c r="D31" s="11">
        <v>2</v>
      </c>
      <c r="E31" s="11">
        <v>11.55</v>
      </c>
      <c r="F31" s="11">
        <v>17555</v>
      </c>
      <c r="G31" s="11">
        <v>16022</v>
      </c>
      <c r="H31" s="11">
        <v>6781</v>
      </c>
      <c r="I31" s="8">
        <f>F31+G31+H31</f>
        <v>40358</v>
      </c>
      <c r="J31" s="9">
        <v>55550</v>
      </c>
      <c r="K31" s="6">
        <f t="shared" si="2"/>
        <v>0.27348334833483351</v>
      </c>
      <c r="L31" s="10">
        <f t="shared" si="3"/>
        <v>15192</v>
      </c>
      <c r="M31" s="10">
        <f t="shared" si="4"/>
        <v>30384</v>
      </c>
      <c r="N31" s="11">
        <v>21.2</v>
      </c>
      <c r="O31" s="11">
        <v>16.899999999999999</v>
      </c>
      <c r="P31" s="11">
        <v>55</v>
      </c>
      <c r="Q31" s="11">
        <v>550</v>
      </c>
    </row>
    <row r="32" spans="1:17" x14ac:dyDescent="0.25">
      <c r="A32" s="2">
        <v>29</v>
      </c>
      <c r="B32" s="12" t="s">
        <v>52</v>
      </c>
      <c r="C32" s="17" t="s">
        <v>45</v>
      </c>
      <c r="D32" s="7">
        <v>2</v>
      </c>
      <c r="E32" s="7">
        <v>18.170000000000002</v>
      </c>
      <c r="F32" s="7">
        <v>27617</v>
      </c>
      <c r="G32" s="7">
        <v>20632</v>
      </c>
      <c r="H32" s="7">
        <v>10667</v>
      </c>
      <c r="I32" s="8">
        <f>F32+G32+H32</f>
        <v>58916</v>
      </c>
      <c r="J32" s="9">
        <f>81100+H32</f>
        <v>91767</v>
      </c>
      <c r="K32" s="6">
        <f t="shared" si="2"/>
        <v>0.35798271709873919</v>
      </c>
      <c r="L32" s="10">
        <f t="shared" si="3"/>
        <v>32851</v>
      </c>
      <c r="M32" s="10">
        <f t="shared" si="4"/>
        <v>65702</v>
      </c>
      <c r="N32" s="7">
        <v>22</v>
      </c>
      <c r="O32" s="7">
        <v>17.600000000000001</v>
      </c>
      <c r="P32" s="7">
        <v>81</v>
      </c>
      <c r="Q32" s="7">
        <v>100</v>
      </c>
    </row>
    <row r="33" spans="1:17" x14ac:dyDescent="0.25">
      <c r="A33" s="3">
        <v>30</v>
      </c>
      <c r="B33" s="13" t="s">
        <v>53</v>
      </c>
      <c r="C33" s="17" t="s">
        <v>45</v>
      </c>
      <c r="D33" s="11">
        <v>2</v>
      </c>
      <c r="E33" s="11">
        <v>17.3</v>
      </c>
      <c r="F33" s="11">
        <v>26290</v>
      </c>
      <c r="G33" s="11">
        <v>7902</v>
      </c>
      <c r="H33" s="11">
        <v>5155</v>
      </c>
      <c r="I33" s="8">
        <f>F33+G33+H33</f>
        <v>39347</v>
      </c>
      <c r="J33" s="9">
        <f>70550+H33</f>
        <v>75705</v>
      </c>
      <c r="K33" s="6">
        <f t="shared" si="2"/>
        <v>0.48025889967637542</v>
      </c>
      <c r="L33" s="10">
        <f t="shared" si="3"/>
        <v>36358</v>
      </c>
      <c r="M33" s="10">
        <f t="shared" si="4"/>
        <v>72716</v>
      </c>
      <c r="N33" s="11">
        <v>22.1</v>
      </c>
      <c r="O33" s="11">
        <v>17.8</v>
      </c>
      <c r="P33" s="11">
        <v>61</v>
      </c>
      <c r="Q33" s="11">
        <v>550</v>
      </c>
    </row>
    <row r="34" spans="1:17" x14ac:dyDescent="0.25">
      <c r="A34" s="2">
        <v>31</v>
      </c>
      <c r="B34" s="12" t="s">
        <v>54</v>
      </c>
      <c r="C34" s="17" t="s">
        <v>55</v>
      </c>
      <c r="D34" s="7">
        <v>25</v>
      </c>
      <c r="E34" s="7">
        <v>0.63</v>
      </c>
      <c r="F34" s="7">
        <v>958</v>
      </c>
      <c r="G34" s="7">
        <v>1648</v>
      </c>
      <c r="H34" s="7">
        <v>0</v>
      </c>
      <c r="I34" s="8">
        <f t="shared" si="1"/>
        <v>2606</v>
      </c>
      <c r="J34" s="9">
        <v>8300</v>
      </c>
      <c r="K34" s="6">
        <f t="shared" si="2"/>
        <v>0.68602409638554218</v>
      </c>
      <c r="L34" s="10">
        <f t="shared" si="3"/>
        <v>5694</v>
      </c>
      <c r="M34" s="10">
        <f t="shared" si="4"/>
        <v>142350</v>
      </c>
      <c r="N34" s="7">
        <v>58</v>
      </c>
      <c r="O34" s="7">
        <v>55.7</v>
      </c>
      <c r="P34" s="7">
        <v>8</v>
      </c>
      <c r="Q34" s="7">
        <v>300</v>
      </c>
    </row>
    <row r="35" spans="1:17" x14ac:dyDescent="0.25">
      <c r="A35" s="3">
        <v>32</v>
      </c>
      <c r="B35" s="13" t="s">
        <v>56</v>
      </c>
      <c r="C35" s="17" t="s">
        <v>55</v>
      </c>
      <c r="D35" s="11">
        <v>15</v>
      </c>
      <c r="E35" s="11">
        <v>1.8</v>
      </c>
      <c r="F35" s="11">
        <v>2736</v>
      </c>
      <c r="G35" s="11">
        <v>2087</v>
      </c>
      <c r="H35" s="11">
        <v>0</v>
      </c>
      <c r="I35" s="8">
        <f t="shared" si="1"/>
        <v>4823</v>
      </c>
      <c r="J35" s="9">
        <v>12550</v>
      </c>
      <c r="K35" s="6">
        <f t="shared" si="2"/>
        <v>0.61569721115537845</v>
      </c>
      <c r="L35" s="10">
        <f t="shared" si="3"/>
        <v>7727</v>
      </c>
      <c r="M35" s="10">
        <f t="shared" si="4"/>
        <v>115905</v>
      </c>
      <c r="N35" s="11">
        <v>53.7</v>
      </c>
      <c r="O35" s="11">
        <v>51.1</v>
      </c>
      <c r="P35" s="11">
        <v>12</v>
      </c>
      <c r="Q35" s="11">
        <v>550</v>
      </c>
    </row>
    <row r="36" spans="1:17" x14ac:dyDescent="0.25">
      <c r="A36" s="2">
        <v>33</v>
      </c>
      <c r="B36" s="12" t="s">
        <v>57</v>
      </c>
      <c r="C36" s="17" t="s">
        <v>55</v>
      </c>
      <c r="D36" s="7">
        <v>20</v>
      </c>
      <c r="E36" s="7">
        <v>0.97</v>
      </c>
      <c r="F36" s="7">
        <v>1474</v>
      </c>
      <c r="G36" s="7">
        <v>1729</v>
      </c>
      <c r="H36" s="7">
        <v>0</v>
      </c>
      <c r="I36" s="8">
        <f t="shared" si="1"/>
        <v>3203</v>
      </c>
      <c r="J36" s="9">
        <v>8900</v>
      </c>
      <c r="K36" s="6">
        <f t="shared" si="2"/>
        <v>0.64011235955056178</v>
      </c>
      <c r="L36" s="10">
        <f t="shared" si="3"/>
        <v>5697</v>
      </c>
      <c r="M36" s="10">
        <f t="shared" si="4"/>
        <v>113940</v>
      </c>
      <c r="N36" s="7">
        <v>53.8</v>
      </c>
      <c r="O36" s="7">
        <v>51.2</v>
      </c>
      <c r="P36" s="7">
        <v>8</v>
      </c>
      <c r="Q36" s="7">
        <v>900</v>
      </c>
    </row>
    <row r="37" spans="1:17" x14ac:dyDescent="0.25">
      <c r="A37" s="3">
        <v>34</v>
      </c>
      <c r="B37" s="13" t="s">
        <v>58</v>
      </c>
      <c r="C37" s="17" t="s">
        <v>55</v>
      </c>
      <c r="D37" s="11">
        <v>30</v>
      </c>
      <c r="E37" s="11">
        <v>1.35</v>
      </c>
      <c r="F37" s="11">
        <v>2052</v>
      </c>
      <c r="G37" s="11">
        <v>1713</v>
      </c>
      <c r="H37" s="11">
        <v>0</v>
      </c>
      <c r="I37" s="8">
        <f t="shared" si="1"/>
        <v>3765</v>
      </c>
      <c r="J37" s="9">
        <v>10450</v>
      </c>
      <c r="K37" s="6">
        <f t="shared" si="2"/>
        <v>0.63971291866028712</v>
      </c>
      <c r="L37" s="10">
        <f t="shared" si="3"/>
        <v>6685</v>
      </c>
      <c r="M37" s="10">
        <f t="shared" si="4"/>
        <v>200550</v>
      </c>
      <c r="N37" s="11">
        <v>55</v>
      </c>
      <c r="O37" s="11">
        <v>52.5</v>
      </c>
      <c r="P37" s="11">
        <v>10</v>
      </c>
      <c r="Q37" s="11">
        <v>450</v>
      </c>
    </row>
    <row r="38" spans="1:17" x14ac:dyDescent="0.25">
      <c r="A38" s="2">
        <v>35</v>
      </c>
      <c r="B38" s="12" t="s">
        <v>59</v>
      </c>
      <c r="C38" s="17" t="s">
        <v>55</v>
      </c>
      <c r="D38" s="7">
        <v>5</v>
      </c>
      <c r="E38" s="7">
        <v>0.86</v>
      </c>
      <c r="F38" s="7">
        <v>1307</v>
      </c>
      <c r="G38" s="7">
        <v>2087</v>
      </c>
      <c r="H38" s="7">
        <v>0</v>
      </c>
      <c r="I38" s="8">
        <f t="shared" si="1"/>
        <v>3394</v>
      </c>
      <c r="J38" s="9">
        <v>10100</v>
      </c>
      <c r="K38" s="6">
        <f t="shared" si="2"/>
        <v>0.66396039603960399</v>
      </c>
      <c r="L38" s="10">
        <f t="shared" si="3"/>
        <v>6706</v>
      </c>
      <c r="M38" s="10">
        <f t="shared" si="4"/>
        <v>33530</v>
      </c>
      <c r="N38" s="7">
        <v>57.3</v>
      </c>
      <c r="O38" s="7">
        <v>54.9</v>
      </c>
      <c r="P38" s="7">
        <v>10</v>
      </c>
      <c r="Q38" s="7">
        <v>100</v>
      </c>
    </row>
    <row r="39" spans="1:17" x14ac:dyDescent="0.25">
      <c r="A39" s="3">
        <v>36</v>
      </c>
      <c r="B39" s="13" t="s">
        <v>60</v>
      </c>
      <c r="C39" s="17" t="s">
        <v>55</v>
      </c>
      <c r="D39" s="11">
        <v>6</v>
      </c>
      <c r="E39" s="11">
        <v>1.7</v>
      </c>
      <c r="F39" s="11">
        <v>2584</v>
      </c>
      <c r="G39" s="11">
        <v>1583</v>
      </c>
      <c r="H39" s="11">
        <v>0</v>
      </c>
      <c r="I39" s="8">
        <f t="shared" si="1"/>
        <v>4167</v>
      </c>
      <c r="J39" s="9">
        <v>10850</v>
      </c>
      <c r="K39" s="6">
        <f t="shared" si="2"/>
        <v>0.6159447004608295</v>
      </c>
      <c r="L39" s="10">
        <f t="shared" si="3"/>
        <v>6683</v>
      </c>
      <c r="M39" s="10">
        <f t="shared" si="4"/>
        <v>40098</v>
      </c>
      <c r="N39" s="11">
        <v>52.8</v>
      </c>
      <c r="O39" s="11">
        <v>50.1</v>
      </c>
      <c r="P39" s="11">
        <v>10</v>
      </c>
      <c r="Q39" s="11">
        <v>850</v>
      </c>
    </row>
    <row r="40" spans="1:17" x14ac:dyDescent="0.25">
      <c r="A40" s="2">
        <v>37</v>
      </c>
      <c r="B40" s="12" t="s">
        <v>61</v>
      </c>
      <c r="C40" s="17" t="s">
        <v>55</v>
      </c>
      <c r="D40" s="7">
        <v>10</v>
      </c>
      <c r="E40" s="7">
        <v>1.65</v>
      </c>
      <c r="F40" s="7">
        <v>2508</v>
      </c>
      <c r="G40" s="7">
        <v>1697</v>
      </c>
      <c r="H40" s="7">
        <v>0</v>
      </c>
      <c r="I40" s="8">
        <f t="shared" si="1"/>
        <v>4205</v>
      </c>
      <c r="J40" s="9">
        <v>11900</v>
      </c>
      <c r="K40" s="6">
        <f t="shared" si="2"/>
        <v>0.64663865546218491</v>
      </c>
      <c r="L40" s="10">
        <f t="shared" si="3"/>
        <v>7695</v>
      </c>
      <c r="M40" s="10">
        <f t="shared" si="4"/>
        <v>76950</v>
      </c>
      <c r="N40" s="7">
        <v>56.6</v>
      </c>
      <c r="O40" s="7">
        <v>54.2</v>
      </c>
      <c r="P40" s="7">
        <v>11</v>
      </c>
      <c r="Q40" s="7">
        <v>900</v>
      </c>
    </row>
    <row r="41" spans="1:17" x14ac:dyDescent="0.25">
      <c r="A41" s="3">
        <v>38</v>
      </c>
      <c r="B41" s="13" t="s">
        <v>62</v>
      </c>
      <c r="C41" s="17" t="s">
        <v>55</v>
      </c>
      <c r="D41" s="11">
        <v>3</v>
      </c>
      <c r="E41" s="11">
        <v>1.27</v>
      </c>
      <c r="F41" s="11">
        <v>1930</v>
      </c>
      <c r="G41" s="11">
        <v>1664</v>
      </c>
      <c r="H41" s="11">
        <v>0</v>
      </c>
      <c r="I41" s="8">
        <f t="shared" si="1"/>
        <v>3594</v>
      </c>
      <c r="J41" s="9">
        <v>10300</v>
      </c>
      <c r="K41" s="6">
        <f t="shared" si="2"/>
        <v>0.6510679611650485</v>
      </c>
      <c r="L41" s="10">
        <f t="shared" si="3"/>
        <v>6706</v>
      </c>
      <c r="M41" s="10">
        <f t="shared" si="4"/>
        <v>20118</v>
      </c>
      <c r="N41" s="11">
        <v>56.1</v>
      </c>
      <c r="O41" s="11">
        <v>53.6</v>
      </c>
      <c r="P41" s="11">
        <v>10</v>
      </c>
      <c r="Q41" s="11">
        <v>300</v>
      </c>
    </row>
    <row r="42" spans="1:17" x14ac:dyDescent="0.25">
      <c r="A42" s="2">
        <v>39</v>
      </c>
      <c r="B42" s="12" t="s">
        <v>63</v>
      </c>
      <c r="C42" s="17" t="s">
        <v>55</v>
      </c>
      <c r="D42" s="7">
        <v>15</v>
      </c>
      <c r="E42" s="7">
        <v>0</v>
      </c>
      <c r="F42" s="7">
        <v>0</v>
      </c>
      <c r="G42" s="7">
        <v>1583</v>
      </c>
      <c r="H42" s="7">
        <v>0</v>
      </c>
      <c r="I42" s="8">
        <f t="shared" si="1"/>
        <v>1583</v>
      </c>
      <c r="J42" s="9">
        <v>5300</v>
      </c>
      <c r="K42" s="6">
        <f t="shared" si="2"/>
        <v>0.70132075471698119</v>
      </c>
      <c r="L42" s="10">
        <f t="shared" si="3"/>
        <v>3717</v>
      </c>
      <c r="M42" s="10">
        <f t="shared" si="4"/>
        <v>55755</v>
      </c>
      <c r="N42" s="7">
        <v>54.6</v>
      </c>
      <c r="O42" s="7">
        <v>52.1</v>
      </c>
      <c r="P42" s="7">
        <v>5</v>
      </c>
      <c r="Q42" s="7">
        <v>300</v>
      </c>
    </row>
    <row r="43" spans="1:17" x14ac:dyDescent="0.25">
      <c r="A43" s="3">
        <v>40</v>
      </c>
      <c r="B43" s="13" t="s">
        <v>64</v>
      </c>
      <c r="C43" s="17" t="s">
        <v>55</v>
      </c>
      <c r="D43" s="11">
        <v>10</v>
      </c>
      <c r="E43" s="11">
        <v>1.04</v>
      </c>
      <c r="F43" s="11">
        <v>1581</v>
      </c>
      <c r="G43" s="11">
        <v>1859</v>
      </c>
      <c r="H43" s="11">
        <v>0</v>
      </c>
      <c r="I43" s="8">
        <f t="shared" si="1"/>
        <v>3440</v>
      </c>
      <c r="J43" s="9">
        <v>10150</v>
      </c>
      <c r="K43" s="6">
        <f t="shared" si="2"/>
        <v>0.66108374384236457</v>
      </c>
      <c r="L43" s="10">
        <f t="shared" si="3"/>
        <v>6710</v>
      </c>
      <c r="M43" s="10">
        <f t="shared" si="4"/>
        <v>67100</v>
      </c>
      <c r="N43" s="11">
        <v>57</v>
      </c>
      <c r="O43" s="11">
        <v>54.6</v>
      </c>
      <c r="P43" s="11">
        <v>10</v>
      </c>
      <c r="Q43" s="11">
        <v>150</v>
      </c>
    </row>
    <row r="44" spans="1:17" x14ac:dyDescent="0.25">
      <c r="A44" s="2">
        <v>41</v>
      </c>
      <c r="B44" s="12" t="s">
        <v>65</v>
      </c>
      <c r="C44" s="17" t="s">
        <v>55</v>
      </c>
      <c r="D44" s="7">
        <v>12</v>
      </c>
      <c r="E44" s="7">
        <v>1.69</v>
      </c>
      <c r="F44" s="7">
        <v>2569</v>
      </c>
      <c r="G44" s="7">
        <v>2087</v>
      </c>
      <c r="H44" s="7">
        <v>0</v>
      </c>
      <c r="I44" s="8">
        <f t="shared" si="1"/>
        <v>4656</v>
      </c>
      <c r="J44" s="9">
        <v>12350</v>
      </c>
      <c r="K44" s="6">
        <f t="shared" si="2"/>
        <v>0.62299595141700403</v>
      </c>
      <c r="L44" s="10">
        <f t="shared" si="3"/>
        <v>7694</v>
      </c>
      <c r="M44" s="10">
        <f t="shared" si="4"/>
        <v>92328</v>
      </c>
      <c r="N44" s="7">
        <v>54.3</v>
      </c>
      <c r="O44" s="7">
        <v>51.8</v>
      </c>
      <c r="P44" s="7">
        <v>12</v>
      </c>
      <c r="Q44" s="7">
        <v>350</v>
      </c>
    </row>
    <row r="45" spans="1:17" x14ac:dyDescent="0.25">
      <c r="A45" s="3">
        <v>42</v>
      </c>
      <c r="B45" s="13" t="s">
        <v>66</v>
      </c>
      <c r="C45" s="17" t="s">
        <v>55</v>
      </c>
      <c r="D45" s="11">
        <v>8</v>
      </c>
      <c r="E45" s="11">
        <v>0.9</v>
      </c>
      <c r="F45" s="11">
        <v>1368</v>
      </c>
      <c r="G45" s="11">
        <v>1583</v>
      </c>
      <c r="H45" s="11">
        <v>0</v>
      </c>
      <c r="I45" s="8">
        <f t="shared" si="1"/>
        <v>2951</v>
      </c>
      <c r="J45" s="9">
        <v>8650</v>
      </c>
      <c r="K45" s="6">
        <f t="shared" si="2"/>
        <v>0.65884393063583813</v>
      </c>
      <c r="L45" s="10">
        <f t="shared" si="3"/>
        <v>5699</v>
      </c>
      <c r="M45" s="10">
        <f t="shared" si="4"/>
        <v>45592</v>
      </c>
      <c r="N45" s="11">
        <v>55.5</v>
      </c>
      <c r="O45" s="11">
        <v>53.1</v>
      </c>
      <c r="P45" s="11">
        <v>8</v>
      </c>
      <c r="Q45" s="11">
        <v>650</v>
      </c>
    </row>
    <row r="46" spans="1:17" x14ac:dyDescent="0.25">
      <c r="A46" s="2">
        <v>43</v>
      </c>
      <c r="B46" s="12" t="s">
        <v>67</v>
      </c>
      <c r="C46" s="17" t="s">
        <v>55</v>
      </c>
      <c r="D46" s="7">
        <v>10</v>
      </c>
      <c r="E46" s="7">
        <v>0.48</v>
      </c>
      <c r="F46" s="7">
        <v>730</v>
      </c>
      <c r="G46" s="7">
        <v>1551</v>
      </c>
      <c r="H46" s="7">
        <v>0</v>
      </c>
      <c r="I46" s="8">
        <f t="shared" si="1"/>
        <v>2281</v>
      </c>
      <c r="J46" s="9">
        <v>5950</v>
      </c>
      <c r="K46" s="6">
        <f t="shared" si="2"/>
        <v>0.61663865546218488</v>
      </c>
      <c r="L46" s="10">
        <f t="shared" si="3"/>
        <v>3669</v>
      </c>
      <c r="M46" s="10">
        <f t="shared" si="4"/>
        <v>36690</v>
      </c>
      <c r="N46" s="7">
        <v>54.8</v>
      </c>
      <c r="O46" s="7">
        <v>52.3</v>
      </c>
      <c r="P46" s="7">
        <v>6</v>
      </c>
      <c r="Q46" s="7">
        <v>950</v>
      </c>
    </row>
    <row r="47" spans="1:17" x14ac:dyDescent="0.25">
      <c r="A47" s="3">
        <v>44</v>
      </c>
      <c r="B47" s="13" t="s">
        <v>68</v>
      </c>
      <c r="C47" s="17" t="s">
        <v>69</v>
      </c>
      <c r="D47" s="11">
        <v>10</v>
      </c>
      <c r="E47" s="11">
        <v>0.72</v>
      </c>
      <c r="F47" s="11">
        <v>1092</v>
      </c>
      <c r="G47" s="11">
        <v>2054</v>
      </c>
      <c r="H47" s="11">
        <v>0</v>
      </c>
      <c r="I47" s="8">
        <f t="shared" si="1"/>
        <v>3146</v>
      </c>
      <c r="J47" s="9">
        <v>12850</v>
      </c>
      <c r="K47" s="6">
        <f t="shared" si="2"/>
        <v>0.75517509727626464</v>
      </c>
      <c r="L47" s="10">
        <f t="shared" si="3"/>
        <v>9704</v>
      </c>
      <c r="M47" s="10">
        <f t="shared" si="4"/>
        <v>97040</v>
      </c>
      <c r="N47" s="11">
        <v>68.5</v>
      </c>
      <c r="O47" s="11">
        <v>66.7</v>
      </c>
      <c r="P47" s="11">
        <v>12</v>
      </c>
      <c r="Q47" s="11">
        <v>850</v>
      </c>
    </row>
    <row r="48" spans="1:17" x14ac:dyDescent="0.25">
      <c r="A48" s="2">
        <v>45</v>
      </c>
      <c r="B48" s="12" t="s">
        <v>70</v>
      </c>
      <c r="C48" s="17" t="s">
        <v>69</v>
      </c>
      <c r="D48" s="7">
        <v>8</v>
      </c>
      <c r="E48" s="7">
        <v>0.93</v>
      </c>
      <c r="F48" s="7">
        <v>1414</v>
      </c>
      <c r="G48" s="7">
        <v>2590</v>
      </c>
      <c r="H48" s="7">
        <v>0</v>
      </c>
      <c r="I48" s="8">
        <f t="shared" si="1"/>
        <v>4004</v>
      </c>
      <c r="J48" s="9">
        <v>17050</v>
      </c>
      <c r="K48" s="6">
        <f t="shared" si="2"/>
        <v>0.76516129032258062</v>
      </c>
      <c r="L48" s="10">
        <f t="shared" si="3"/>
        <v>13046</v>
      </c>
      <c r="M48" s="10">
        <f t="shared" si="4"/>
        <v>104368</v>
      </c>
      <c r="N48" s="7">
        <v>69.099999999999994</v>
      </c>
      <c r="O48" s="7">
        <v>67.400000000000006</v>
      </c>
      <c r="P48" s="7">
        <v>17</v>
      </c>
      <c r="Q48" s="7">
        <v>50</v>
      </c>
    </row>
    <row r="49" spans="1:17" x14ac:dyDescent="0.25">
      <c r="A49" s="3">
        <v>46</v>
      </c>
      <c r="B49" s="13" t="s">
        <v>71</v>
      </c>
      <c r="C49" s="17" t="s">
        <v>69</v>
      </c>
      <c r="D49" s="11">
        <v>6</v>
      </c>
      <c r="E49" s="11">
        <v>1.1299999999999999</v>
      </c>
      <c r="F49" s="11">
        <v>1718</v>
      </c>
      <c r="G49" s="11">
        <v>1583</v>
      </c>
      <c r="H49" s="11">
        <v>0</v>
      </c>
      <c r="I49" s="8">
        <f t="shared" si="1"/>
        <v>3301</v>
      </c>
      <c r="J49" s="9">
        <v>14050</v>
      </c>
      <c r="K49" s="6">
        <f t="shared" si="2"/>
        <v>0.76505338078291818</v>
      </c>
      <c r="L49" s="10">
        <f t="shared" si="3"/>
        <v>10749</v>
      </c>
      <c r="M49" s="10">
        <f t="shared" si="4"/>
        <v>64494</v>
      </c>
      <c r="N49" s="11">
        <v>70</v>
      </c>
      <c r="O49" s="11">
        <v>68.3</v>
      </c>
      <c r="P49" s="11">
        <v>14</v>
      </c>
      <c r="Q49" s="11">
        <v>50</v>
      </c>
    </row>
    <row r="50" spans="1:17" x14ac:dyDescent="0.25">
      <c r="A50" s="2">
        <v>47</v>
      </c>
      <c r="B50" s="15" t="s">
        <v>91</v>
      </c>
      <c r="C50" s="17" t="s">
        <v>72</v>
      </c>
      <c r="D50" s="7">
        <v>10</v>
      </c>
      <c r="E50" s="7">
        <v>2.34</v>
      </c>
      <c r="F50" s="7">
        <v>3557</v>
      </c>
      <c r="G50" s="7">
        <v>2899</v>
      </c>
      <c r="H50" s="7">
        <v>0</v>
      </c>
      <c r="I50" s="8">
        <f t="shared" si="1"/>
        <v>6456</v>
      </c>
      <c r="J50" s="9">
        <v>16450</v>
      </c>
      <c r="K50" s="6">
        <f t="shared" si="2"/>
        <v>0.60753799392097263</v>
      </c>
      <c r="L50" s="10">
        <f t="shared" si="3"/>
        <v>9994</v>
      </c>
      <c r="M50" s="10">
        <f t="shared" si="4"/>
        <v>99940</v>
      </c>
      <c r="N50" s="7">
        <v>55</v>
      </c>
      <c r="O50" s="7">
        <v>52.5</v>
      </c>
      <c r="P50" s="7">
        <v>17</v>
      </c>
      <c r="Q50" s="7">
        <v>450</v>
      </c>
    </row>
    <row r="51" spans="1:17" x14ac:dyDescent="0.25">
      <c r="A51" s="3">
        <v>48</v>
      </c>
      <c r="B51" s="16" t="s">
        <v>90</v>
      </c>
      <c r="C51" s="17" t="s">
        <v>72</v>
      </c>
      <c r="D51" s="11">
        <v>5</v>
      </c>
      <c r="E51" s="11">
        <v>1.38</v>
      </c>
      <c r="F51" s="11">
        <v>2098</v>
      </c>
      <c r="G51" s="11">
        <v>2363</v>
      </c>
      <c r="H51" s="11">
        <v>0</v>
      </c>
      <c r="I51" s="8">
        <f t="shared" si="1"/>
        <v>4461</v>
      </c>
      <c r="J51" s="9">
        <v>12450</v>
      </c>
      <c r="K51" s="6">
        <f t="shared" si="2"/>
        <v>0.64168674698795181</v>
      </c>
      <c r="L51" s="10">
        <f t="shared" si="3"/>
        <v>7989</v>
      </c>
      <c r="M51" s="10">
        <f t="shared" si="4"/>
        <v>39945</v>
      </c>
      <c r="N51" s="11">
        <v>53.8</v>
      </c>
      <c r="O51" s="11">
        <v>51.2</v>
      </c>
      <c r="P51" s="11">
        <v>12</v>
      </c>
      <c r="Q51" s="11">
        <v>450</v>
      </c>
    </row>
    <row r="52" spans="1:17" x14ac:dyDescent="0.25">
      <c r="A52" s="2">
        <v>49</v>
      </c>
      <c r="B52" s="12" t="s">
        <v>73</v>
      </c>
      <c r="C52" s="17" t="s">
        <v>72</v>
      </c>
      <c r="D52" s="7">
        <v>15</v>
      </c>
      <c r="E52" s="7">
        <v>0.72</v>
      </c>
      <c r="F52" s="7">
        <v>1094</v>
      </c>
      <c r="G52" s="7">
        <v>2493</v>
      </c>
      <c r="H52" s="7">
        <v>0</v>
      </c>
      <c r="I52" s="8">
        <f t="shared" si="1"/>
        <v>3587</v>
      </c>
      <c r="J52" s="9">
        <v>6600</v>
      </c>
      <c r="K52" s="6">
        <f t="shared" si="2"/>
        <v>0.45651515151515154</v>
      </c>
      <c r="L52" s="10">
        <f t="shared" si="3"/>
        <v>3013</v>
      </c>
      <c r="M52" s="10">
        <f t="shared" si="4"/>
        <v>45195</v>
      </c>
      <c r="N52" s="7">
        <v>54.4</v>
      </c>
      <c r="O52" s="7">
        <v>51.9</v>
      </c>
      <c r="P52" s="7">
        <v>10</v>
      </c>
      <c r="Q52" s="7">
        <v>600</v>
      </c>
    </row>
    <row r="53" spans="1:17" x14ac:dyDescent="0.25">
      <c r="A53" s="3">
        <v>50</v>
      </c>
      <c r="B53" s="13" t="s">
        <v>74</v>
      </c>
      <c r="C53" s="17" t="s">
        <v>72</v>
      </c>
      <c r="D53" s="11">
        <v>8</v>
      </c>
      <c r="E53" s="11">
        <v>0.92</v>
      </c>
      <c r="F53" s="11">
        <v>1392</v>
      </c>
      <c r="G53" s="11">
        <v>2477</v>
      </c>
      <c r="H53" s="11">
        <v>0</v>
      </c>
      <c r="I53" s="8">
        <f t="shared" si="1"/>
        <v>3869</v>
      </c>
      <c r="J53" s="9">
        <v>10850</v>
      </c>
      <c r="K53" s="6">
        <f t="shared" si="2"/>
        <v>0.64341013824884796</v>
      </c>
      <c r="L53" s="10">
        <f t="shared" si="3"/>
        <v>6981</v>
      </c>
      <c r="M53" s="10">
        <f t="shared" si="4"/>
        <v>55848</v>
      </c>
      <c r="N53" s="11">
        <v>52.7</v>
      </c>
      <c r="O53" s="11">
        <v>50.1</v>
      </c>
      <c r="P53" s="11">
        <v>10</v>
      </c>
      <c r="Q53" s="11">
        <v>850</v>
      </c>
    </row>
    <row r="54" spans="1:17" x14ac:dyDescent="0.25">
      <c r="A54" s="2">
        <v>51</v>
      </c>
      <c r="B54" s="12" t="s">
        <v>75</v>
      </c>
      <c r="C54" s="17" t="s">
        <v>76</v>
      </c>
      <c r="D54" s="7">
        <v>8</v>
      </c>
      <c r="E54" s="7">
        <v>2.87</v>
      </c>
      <c r="F54" s="7">
        <v>4362</v>
      </c>
      <c r="G54" s="7">
        <v>2330</v>
      </c>
      <c r="H54" s="7">
        <v>0</v>
      </c>
      <c r="I54" s="8">
        <f t="shared" si="1"/>
        <v>6692</v>
      </c>
      <c r="J54" s="9">
        <v>15770</v>
      </c>
      <c r="K54" s="6">
        <f t="shared" si="2"/>
        <v>0.57564996829422954</v>
      </c>
      <c r="L54" s="10">
        <f t="shared" si="3"/>
        <v>9078</v>
      </c>
      <c r="M54" s="10">
        <f t="shared" si="4"/>
        <v>72624</v>
      </c>
      <c r="N54" s="7">
        <v>58.9</v>
      </c>
      <c r="O54" s="7">
        <v>56.6</v>
      </c>
      <c r="P54" s="7">
        <v>19</v>
      </c>
      <c r="Q54" s="7">
        <v>700</v>
      </c>
    </row>
    <row r="55" spans="1:17" x14ac:dyDescent="0.25">
      <c r="A55" s="3">
        <v>52</v>
      </c>
      <c r="B55" s="13" t="s">
        <v>77</v>
      </c>
      <c r="C55" s="17" t="s">
        <v>76</v>
      </c>
      <c r="D55" s="11">
        <v>8</v>
      </c>
      <c r="E55" s="11">
        <v>2.87</v>
      </c>
      <c r="F55" s="11">
        <v>4362</v>
      </c>
      <c r="G55" s="11">
        <v>2330</v>
      </c>
      <c r="H55" s="11">
        <v>0</v>
      </c>
      <c r="I55" s="8">
        <f t="shared" si="1"/>
        <v>6692</v>
      </c>
      <c r="J55" s="9">
        <v>17700</v>
      </c>
      <c r="K55" s="6">
        <f t="shared" si="2"/>
        <v>0.62192090395480226</v>
      </c>
      <c r="L55" s="10">
        <f t="shared" si="3"/>
        <v>11008</v>
      </c>
      <c r="M55" s="10">
        <f t="shared" si="4"/>
        <v>88064</v>
      </c>
      <c r="N55" s="11">
        <v>58.9</v>
      </c>
      <c r="O55" s="11">
        <v>56.6</v>
      </c>
      <c r="P55" s="11">
        <v>19</v>
      </c>
      <c r="Q55" s="11">
        <v>700</v>
      </c>
    </row>
    <row r="56" spans="1:17" x14ac:dyDescent="0.25">
      <c r="A56" s="2">
        <v>53</v>
      </c>
      <c r="B56" s="12" t="s">
        <v>78</v>
      </c>
      <c r="C56" s="17" t="s">
        <v>76</v>
      </c>
      <c r="D56" s="7">
        <v>10</v>
      </c>
      <c r="E56" s="7">
        <v>1.62</v>
      </c>
      <c r="F56" s="11">
        <f>1520*E56</f>
        <v>2462.4</v>
      </c>
      <c r="G56" s="7">
        <v>1632</v>
      </c>
      <c r="H56" s="7">
        <v>0</v>
      </c>
      <c r="I56" s="8">
        <f t="shared" si="1"/>
        <v>4094.4</v>
      </c>
      <c r="J56" s="9">
        <v>10290</v>
      </c>
      <c r="K56" s="6">
        <f t="shared" si="2"/>
        <v>0.60209912536443155</v>
      </c>
      <c r="L56" s="10">
        <f t="shared" si="3"/>
        <v>6195.6</v>
      </c>
      <c r="M56" s="10">
        <f t="shared" si="4"/>
        <v>61956</v>
      </c>
      <c r="N56" s="7">
        <v>61.3</v>
      </c>
      <c r="O56" s="7">
        <v>59.1</v>
      </c>
      <c r="P56" s="7">
        <v>6</v>
      </c>
      <c r="Q56" s="7">
        <v>350</v>
      </c>
    </row>
    <row r="57" spans="1:17" x14ac:dyDescent="0.25">
      <c r="A57" s="3">
        <v>54</v>
      </c>
      <c r="B57" s="16" t="s">
        <v>92</v>
      </c>
      <c r="C57" s="17" t="s">
        <v>72</v>
      </c>
      <c r="D57" s="11">
        <v>12</v>
      </c>
      <c r="E57" s="11">
        <v>0.85</v>
      </c>
      <c r="F57" s="11">
        <f>1520*E57</f>
        <v>1292</v>
      </c>
      <c r="G57" s="11">
        <v>1599</v>
      </c>
      <c r="H57" s="11">
        <v>0</v>
      </c>
      <c r="I57" s="8">
        <f t="shared" si="1"/>
        <v>2891</v>
      </c>
      <c r="J57" s="9">
        <v>8600</v>
      </c>
      <c r="K57" s="6">
        <f t="shared" si="2"/>
        <v>0.66383720930232559</v>
      </c>
      <c r="L57" s="10">
        <f t="shared" si="3"/>
        <v>5709</v>
      </c>
      <c r="M57" s="10">
        <f t="shared" si="4"/>
        <v>68508</v>
      </c>
      <c r="N57" s="11">
        <v>56</v>
      </c>
      <c r="O57" s="11">
        <v>53.6</v>
      </c>
      <c r="P57" s="11">
        <v>8</v>
      </c>
      <c r="Q57" s="11">
        <v>600</v>
      </c>
    </row>
    <row r="58" spans="1:17" x14ac:dyDescent="0.25">
      <c r="A58" s="2">
        <v>55</v>
      </c>
      <c r="B58" s="15" t="s">
        <v>93</v>
      </c>
      <c r="C58" s="17" t="s">
        <v>72</v>
      </c>
      <c r="D58" s="7">
        <v>8</v>
      </c>
      <c r="E58" s="7">
        <v>1.27</v>
      </c>
      <c r="F58" s="7">
        <v>1930</v>
      </c>
      <c r="G58" s="7">
        <v>1648</v>
      </c>
      <c r="H58" s="7">
        <v>0</v>
      </c>
      <c r="I58" s="8">
        <f t="shared" si="1"/>
        <v>3578</v>
      </c>
      <c r="J58" s="9">
        <v>12300</v>
      </c>
      <c r="K58" s="6">
        <f t="shared" si="2"/>
        <v>0.70910569105691057</v>
      </c>
      <c r="L58" s="10">
        <f t="shared" si="3"/>
        <v>8722</v>
      </c>
      <c r="M58" s="10">
        <f t="shared" si="4"/>
        <v>69776</v>
      </c>
      <c r="N58" s="7">
        <v>56.2</v>
      </c>
      <c r="O58" s="7">
        <v>53.8</v>
      </c>
      <c r="P58" s="7">
        <v>10</v>
      </c>
      <c r="Q58" s="7">
        <v>300</v>
      </c>
    </row>
    <row r="59" spans="1:17" x14ac:dyDescent="0.25">
      <c r="A59" s="3">
        <v>56</v>
      </c>
      <c r="B59" s="13" t="s">
        <v>79</v>
      </c>
      <c r="C59" s="17" t="s">
        <v>72</v>
      </c>
      <c r="D59" s="11">
        <v>10</v>
      </c>
      <c r="E59" s="11">
        <v>0.92</v>
      </c>
      <c r="F59" s="11">
        <v>1392</v>
      </c>
      <c r="G59" s="11">
        <v>2412</v>
      </c>
      <c r="H59" s="11">
        <v>0</v>
      </c>
      <c r="I59" s="8">
        <f t="shared" si="1"/>
        <v>3804</v>
      </c>
      <c r="J59" s="9">
        <v>10800</v>
      </c>
      <c r="K59" s="6">
        <f t="shared" si="2"/>
        <v>0.64777777777777779</v>
      </c>
      <c r="L59" s="10">
        <f t="shared" si="3"/>
        <v>6996</v>
      </c>
      <c r="M59" s="10">
        <f t="shared" si="4"/>
        <v>69960</v>
      </c>
      <c r="N59" s="11">
        <v>53.1</v>
      </c>
      <c r="O59" s="11">
        <v>50.5</v>
      </c>
      <c r="P59" s="11">
        <v>10</v>
      </c>
      <c r="Q59" s="11">
        <v>800</v>
      </c>
    </row>
    <row r="60" spans="1:17" x14ac:dyDescent="0.25">
      <c r="A60" s="2">
        <v>57</v>
      </c>
      <c r="B60" s="12" t="s">
        <v>80</v>
      </c>
      <c r="C60" s="17" t="s">
        <v>72</v>
      </c>
      <c r="D60" s="7">
        <v>6</v>
      </c>
      <c r="E60" s="7">
        <v>1.1299999999999999</v>
      </c>
      <c r="F60" s="7">
        <v>1713</v>
      </c>
      <c r="G60" s="7">
        <v>2574</v>
      </c>
      <c r="H60" s="7">
        <v>0</v>
      </c>
      <c r="I60" s="8">
        <f t="shared" si="1"/>
        <v>4287</v>
      </c>
      <c r="J60" s="9">
        <v>12300</v>
      </c>
      <c r="K60" s="6">
        <f t="shared" si="2"/>
        <v>0.65146341463414636</v>
      </c>
      <c r="L60" s="10">
        <f t="shared" si="3"/>
        <v>8013</v>
      </c>
      <c r="M60" s="10">
        <f t="shared" si="4"/>
        <v>48078</v>
      </c>
      <c r="N60" s="7">
        <v>54.7</v>
      </c>
      <c r="O60" s="7">
        <v>52.2</v>
      </c>
      <c r="P60" s="7">
        <v>12</v>
      </c>
      <c r="Q60" s="7">
        <v>300</v>
      </c>
    </row>
    <row r="61" spans="1:17" x14ac:dyDescent="0.25">
      <c r="A61" s="3">
        <v>58</v>
      </c>
      <c r="B61" s="13" t="s">
        <v>81</v>
      </c>
      <c r="C61" s="17" t="s">
        <v>28</v>
      </c>
      <c r="D61" s="11">
        <v>10</v>
      </c>
      <c r="E61" s="11">
        <v>0.2</v>
      </c>
      <c r="F61" s="11">
        <v>304</v>
      </c>
      <c r="G61" s="11">
        <v>2347</v>
      </c>
      <c r="H61" s="11">
        <v>0</v>
      </c>
      <c r="I61" s="8">
        <f t="shared" si="1"/>
        <v>2651</v>
      </c>
      <c r="J61" s="9">
        <v>8650</v>
      </c>
      <c r="K61" s="6">
        <f t="shared" si="2"/>
        <v>0.6935260115606936</v>
      </c>
      <c r="L61" s="10">
        <f t="shared" si="3"/>
        <v>5999</v>
      </c>
      <c r="M61" s="10">
        <f t="shared" si="4"/>
        <v>59990</v>
      </c>
      <c r="N61" s="11">
        <v>63.9</v>
      </c>
      <c r="O61" s="11">
        <v>61.9</v>
      </c>
      <c r="P61" s="11">
        <v>10</v>
      </c>
      <c r="Q61" s="11">
        <v>650</v>
      </c>
    </row>
    <row r="62" spans="1:17" x14ac:dyDescent="0.25">
      <c r="A62" s="2">
        <v>59</v>
      </c>
      <c r="B62" s="12" t="s">
        <v>82</v>
      </c>
      <c r="C62" s="17" t="s">
        <v>28</v>
      </c>
      <c r="D62" s="7">
        <v>5</v>
      </c>
      <c r="E62" s="7">
        <v>0.87</v>
      </c>
      <c r="F62" s="7">
        <v>1322</v>
      </c>
      <c r="G62" s="7">
        <v>2428</v>
      </c>
      <c r="H62" s="7">
        <v>0</v>
      </c>
      <c r="I62" s="8">
        <f t="shared" si="1"/>
        <v>3750</v>
      </c>
      <c r="J62" s="9">
        <v>8750</v>
      </c>
      <c r="K62" s="6">
        <f t="shared" si="2"/>
        <v>0.5714285714285714</v>
      </c>
      <c r="L62" s="10">
        <f t="shared" si="3"/>
        <v>5000</v>
      </c>
      <c r="M62" s="10">
        <f t="shared" si="4"/>
        <v>25000</v>
      </c>
      <c r="N62" s="7">
        <v>63.6</v>
      </c>
      <c r="O62" s="7">
        <v>61.6</v>
      </c>
      <c r="P62" s="7">
        <v>13</v>
      </c>
      <c r="Q62" s="7">
        <v>750</v>
      </c>
    </row>
    <row r="63" spans="1:17" x14ac:dyDescent="0.25">
      <c r="A63" s="3">
        <v>60</v>
      </c>
      <c r="B63" s="13" t="s">
        <v>83</v>
      </c>
      <c r="C63" s="17" t="s">
        <v>69</v>
      </c>
      <c r="D63" s="11">
        <v>10</v>
      </c>
      <c r="E63" s="11">
        <v>0.45</v>
      </c>
      <c r="F63" s="11">
        <v>684</v>
      </c>
      <c r="G63" s="11">
        <v>1859</v>
      </c>
      <c r="H63" s="11">
        <v>0</v>
      </c>
      <c r="I63" s="8">
        <f t="shared" si="1"/>
        <v>2543</v>
      </c>
      <c r="J63" s="9">
        <v>11250</v>
      </c>
      <c r="K63" s="6">
        <f t="shared" si="2"/>
        <v>0.77395555555555551</v>
      </c>
      <c r="L63" s="10">
        <f t="shared" si="3"/>
        <v>8707</v>
      </c>
      <c r="M63" s="10">
        <f t="shared" si="4"/>
        <v>87070</v>
      </c>
      <c r="N63" s="11">
        <v>69.599999999999994</v>
      </c>
      <c r="O63" s="11">
        <v>67.900000000000006</v>
      </c>
      <c r="P63" s="11">
        <v>11</v>
      </c>
      <c r="Q63" s="11">
        <v>250</v>
      </c>
    </row>
    <row r="64" spans="1:17" x14ac:dyDescent="0.25">
      <c r="A64" s="2">
        <v>61</v>
      </c>
      <c r="B64" s="12" t="s">
        <v>84</v>
      </c>
      <c r="C64" s="17" t="s">
        <v>76</v>
      </c>
      <c r="D64" s="7">
        <v>10</v>
      </c>
      <c r="E64" s="7">
        <v>1.06</v>
      </c>
      <c r="F64" s="7">
        <v>1611</v>
      </c>
      <c r="G64" s="7">
        <v>1551</v>
      </c>
      <c r="H64" s="7">
        <v>0</v>
      </c>
      <c r="I64" s="8">
        <f t="shared" si="1"/>
        <v>3162</v>
      </c>
      <c r="J64" s="9">
        <v>7850</v>
      </c>
      <c r="K64" s="6">
        <f t="shared" si="2"/>
        <v>0.59719745222929932</v>
      </c>
      <c r="L64" s="10">
        <f t="shared" si="3"/>
        <v>4688</v>
      </c>
      <c r="M64" s="10">
        <f t="shared" si="4"/>
        <v>46880</v>
      </c>
      <c r="N64" s="7">
        <v>58.7</v>
      </c>
      <c r="O64" s="7">
        <v>56.4</v>
      </c>
      <c r="P64" s="7">
        <v>9</v>
      </c>
      <c r="Q64" s="7">
        <v>850</v>
      </c>
    </row>
    <row r="65" spans="1:17" x14ac:dyDescent="0.25">
      <c r="A65" s="3">
        <v>62</v>
      </c>
      <c r="B65" s="16" t="s">
        <v>94</v>
      </c>
      <c r="C65" s="17" t="s">
        <v>72</v>
      </c>
      <c r="D65" s="11">
        <v>18</v>
      </c>
      <c r="E65" s="11">
        <v>1.23</v>
      </c>
      <c r="F65" s="11">
        <v>1870</v>
      </c>
      <c r="G65" s="11">
        <v>4020</v>
      </c>
      <c r="H65" s="11">
        <v>0</v>
      </c>
      <c r="I65" s="8">
        <f t="shared" si="1"/>
        <v>5890</v>
      </c>
      <c r="J65" s="9">
        <v>7650</v>
      </c>
      <c r="K65" s="6">
        <f t="shared" si="2"/>
        <v>0.23006535947712417</v>
      </c>
      <c r="L65" s="10">
        <f t="shared" si="3"/>
        <v>1760</v>
      </c>
      <c r="M65" s="10">
        <f t="shared" si="4"/>
        <v>31680</v>
      </c>
      <c r="N65" s="11">
        <v>54.4</v>
      </c>
      <c r="O65" s="11">
        <v>51.8</v>
      </c>
      <c r="P65" s="11">
        <v>15</v>
      </c>
      <c r="Q65" s="11">
        <v>900</v>
      </c>
    </row>
    <row r="66" spans="1:17" x14ac:dyDescent="0.25">
      <c r="A66" s="2">
        <v>63</v>
      </c>
      <c r="B66" s="15" t="s">
        <v>95</v>
      </c>
      <c r="C66" s="17" t="s">
        <v>45</v>
      </c>
      <c r="D66" s="7">
        <v>10</v>
      </c>
      <c r="E66" s="7">
        <v>2.39</v>
      </c>
      <c r="F66" s="7">
        <v>3633</v>
      </c>
      <c r="G66" s="7">
        <v>6441</v>
      </c>
      <c r="H66" s="7">
        <v>0</v>
      </c>
      <c r="I66" s="8">
        <f t="shared" si="1"/>
        <v>10074</v>
      </c>
      <c r="J66" s="9">
        <v>12300</v>
      </c>
      <c r="K66" s="6">
        <f t="shared" si="2"/>
        <v>0.18097560975609756</v>
      </c>
      <c r="L66" s="10">
        <f t="shared" si="3"/>
        <v>2226</v>
      </c>
      <c r="M66" s="10">
        <f t="shared" si="4"/>
        <v>22260</v>
      </c>
      <c r="N66" s="7">
        <v>22.4</v>
      </c>
      <c r="O66" s="7">
        <v>18.100000000000001</v>
      </c>
      <c r="P66" s="7">
        <v>15</v>
      </c>
      <c r="Q66" s="7">
        <v>300</v>
      </c>
    </row>
    <row r="67" spans="1:17" x14ac:dyDescent="0.25">
      <c r="A67" s="3">
        <v>64</v>
      </c>
      <c r="B67" s="13" t="s">
        <v>85</v>
      </c>
      <c r="C67" s="17" t="s">
        <v>45</v>
      </c>
      <c r="D67" s="11">
        <v>10</v>
      </c>
      <c r="E67" s="11">
        <v>0.76</v>
      </c>
      <c r="F67" s="11">
        <v>1156</v>
      </c>
      <c r="G67" s="11">
        <v>1906</v>
      </c>
      <c r="H67" s="11">
        <v>0</v>
      </c>
      <c r="I67" s="8">
        <f t="shared" si="1"/>
        <v>3062</v>
      </c>
      <c r="J67" s="9">
        <v>5750</v>
      </c>
      <c r="K67" s="6">
        <f t="shared" si="2"/>
        <v>0.46747826086956523</v>
      </c>
      <c r="L67" s="10">
        <f t="shared" si="3"/>
        <v>2688</v>
      </c>
      <c r="M67" s="10">
        <f t="shared" si="4"/>
        <v>26880</v>
      </c>
      <c r="N67" s="11">
        <v>31.1</v>
      </c>
      <c r="O67" s="11">
        <v>27.2</v>
      </c>
      <c r="P67" s="11">
        <v>5</v>
      </c>
      <c r="Q67" s="11">
        <v>750</v>
      </c>
    </row>
    <row r="68" spans="1:17" x14ac:dyDescent="0.25">
      <c r="A68" s="2">
        <v>65</v>
      </c>
      <c r="B68" s="12" t="s">
        <v>86</v>
      </c>
      <c r="C68" s="17" t="s">
        <v>30</v>
      </c>
      <c r="D68" s="7">
        <v>1</v>
      </c>
      <c r="E68" s="7">
        <v>1.1000000000000001</v>
      </c>
      <c r="F68" s="7">
        <v>1672</v>
      </c>
      <c r="G68" s="7">
        <v>1534</v>
      </c>
      <c r="H68" s="7">
        <v>0</v>
      </c>
      <c r="I68" s="8">
        <f t="shared" si="1"/>
        <v>3206</v>
      </c>
      <c r="J68" s="9">
        <v>7000</v>
      </c>
      <c r="K68" s="6">
        <f t="shared" si="2"/>
        <v>0.54200000000000004</v>
      </c>
      <c r="L68" s="10">
        <f t="shared" si="3"/>
        <v>3794</v>
      </c>
      <c r="M68" s="10">
        <f t="shared" si="4"/>
        <v>3794</v>
      </c>
      <c r="N68" s="7">
        <v>30.3</v>
      </c>
      <c r="O68" s="7">
        <v>26.4</v>
      </c>
      <c r="P68" s="7">
        <v>5</v>
      </c>
      <c r="Q68" s="7">
        <v>900</v>
      </c>
    </row>
    <row r="69" spans="1:17" x14ac:dyDescent="0.25">
      <c r="A69" s="3">
        <v>66</v>
      </c>
      <c r="B69" s="13" t="s">
        <v>87</v>
      </c>
      <c r="C69" s="17" t="s">
        <v>55</v>
      </c>
      <c r="D69" s="11">
        <v>2</v>
      </c>
      <c r="E69" s="11">
        <v>0</v>
      </c>
      <c r="F69" s="11">
        <v>0</v>
      </c>
      <c r="G69" s="11">
        <v>1794</v>
      </c>
      <c r="H69" s="11">
        <v>0</v>
      </c>
      <c r="I69" s="8">
        <f t="shared" ref="I69" si="6">F69+G69</f>
        <v>1794</v>
      </c>
      <c r="J69" s="9">
        <v>6450</v>
      </c>
      <c r="K69" s="6">
        <f>L69/J69</f>
        <v>0.7218604651162791</v>
      </c>
      <c r="L69" s="10">
        <f t="shared" ref="L69" si="7">J69-I69</f>
        <v>4656</v>
      </c>
      <c r="M69" s="10">
        <f t="shared" si="4"/>
        <v>9312</v>
      </c>
      <c r="N69" s="11">
        <v>59.2</v>
      </c>
      <c r="O69" s="11">
        <v>57</v>
      </c>
      <c r="P69" s="11">
        <v>6</v>
      </c>
      <c r="Q69" s="11">
        <v>450</v>
      </c>
    </row>
    <row r="70" spans="1:17" x14ac:dyDescent="0.25">
      <c r="A70" s="23" t="s">
        <v>88</v>
      </c>
      <c r="B70" s="22"/>
      <c r="C70" s="22"/>
      <c r="D70" s="22"/>
      <c r="E70" s="22"/>
      <c r="F70" s="22"/>
      <c r="G70" s="22"/>
      <c r="H70" s="22"/>
      <c r="I70" s="22"/>
      <c r="J70" s="22"/>
      <c r="K70" s="4">
        <v>6412350</v>
      </c>
      <c r="L70" s="4">
        <v>49</v>
      </c>
      <c r="N70" s="5">
        <f>SUM(M4:M69)</f>
        <v>3352021</v>
      </c>
    </row>
  </sheetData>
  <mergeCells count="3">
    <mergeCell ref="A2:R2"/>
    <mergeCell ref="A70:J70"/>
    <mergeCell ref="A1:R1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التسعير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jaafar habash</cp:lastModifiedBy>
  <dcterms:created xsi:type="dcterms:W3CDTF">2026-04-23T17:19:51Z</dcterms:created>
  <dcterms:modified xsi:type="dcterms:W3CDTF">2026-05-05T07:17:18Z</dcterms:modified>
</cp:coreProperties>
</file>